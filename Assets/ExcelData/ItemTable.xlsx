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\Documents\GitHub\OperationKivotos\Assets\ExcelData\"/>
    </mc:Choice>
  </mc:AlternateContent>
  <xr:revisionPtr revIDLastSave="0" documentId="13_ncr:1_{F1129889-43C1-40A5-9BF3-394CAAE9F820}" xr6:coauthVersionLast="47" xr6:coauthVersionMax="47" xr10:uidLastSave="{00000000-0000-0000-0000-000000000000}"/>
  <bookViews>
    <workbookView xWindow="-120" yWindow="-120" windowWidth="29040" windowHeight="15720" xr2:uid="{79C10FCB-8206-4E1E-8455-B9F6861255DC}"/>
  </bookViews>
  <sheets>
    <sheet name="Equipment" sheetId="1" r:id="rId1"/>
    <sheet name="Consumable" sheetId="2" r:id="rId2"/>
    <sheet name="Materi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 a="1"/>
  <c r="C18" i="1" s="1"/>
  <c r="C3" i="1" a="1"/>
  <c r="C3" i="1" s="1"/>
  <c r="C4" i="1" a="1"/>
  <c r="C4" i="1" s="1"/>
  <c r="C5" i="1" a="1"/>
  <c r="C5" i="1" s="1"/>
  <c r="C6" i="1" a="1"/>
  <c r="C6" i="1"/>
  <c r="C7" i="1" a="1"/>
  <c r="C7" i="1"/>
  <c r="C8" i="1" a="1"/>
  <c r="C8" i="1"/>
  <c r="C9" i="1" a="1"/>
  <c r="C9" i="1"/>
  <c r="C10" i="1" a="1"/>
  <c r="C10" i="1"/>
  <c r="C11" i="1" a="1"/>
  <c r="C11" i="1"/>
  <c r="C12" i="1" a="1"/>
  <c r="C12" i="1"/>
  <c r="C13" i="1" a="1"/>
  <c r="C13" i="1"/>
  <c r="C14" i="1" a="1"/>
  <c r="C14" i="1"/>
  <c r="C15" i="1" a="1"/>
  <c r="C15" i="1" s="1"/>
  <c r="C16" i="1" a="1"/>
  <c r="C16" i="1" s="1"/>
  <c r="C17" i="1" a="1"/>
  <c r="C17" i="1" s="1"/>
  <c r="C19" i="1" a="1"/>
  <c r="C19" i="1"/>
  <c r="C20" i="1" a="1"/>
  <c r="C20" i="1"/>
  <c r="C21" i="1" a="1"/>
  <c r="C21" i="1"/>
  <c r="C22" i="1" a="1"/>
  <c r="C22" i="1"/>
  <c r="C23" i="1" a="1"/>
  <c r="C23" i="1"/>
  <c r="C24" i="1" a="1"/>
  <c r="C24" i="1"/>
  <c r="C25" i="1" a="1"/>
  <c r="C25" i="1"/>
  <c r="C26" i="1" a="1"/>
  <c r="C26" i="1" s="1"/>
  <c r="C27" i="1" a="1"/>
  <c r="C27" i="1" s="1"/>
  <c r="C28" i="1" a="1"/>
  <c r="C28" i="1" s="1"/>
  <c r="C29" i="1" a="1"/>
  <c r="C29" i="1" s="1"/>
  <c r="C30" i="1" a="1"/>
  <c r="C30" i="1"/>
  <c r="C31" i="1" a="1"/>
  <c r="C31" i="1"/>
  <c r="C32" i="1" a="1"/>
  <c r="C32" i="1"/>
  <c r="C33" i="1" a="1"/>
  <c r="C33" i="1"/>
  <c r="C34" i="1" a="1"/>
  <c r="C34" i="1"/>
  <c r="C35" i="1" a="1"/>
  <c r="C35" i="1"/>
  <c r="C36" i="1" a="1"/>
  <c r="C36" i="1"/>
  <c r="C37" i="1" a="1"/>
  <c r="C37" i="1"/>
  <c r="C38" i="1" a="1"/>
  <c r="C38" i="1" s="1"/>
  <c r="C39" i="1" a="1"/>
  <c r="C39" i="1" s="1"/>
  <c r="C40" i="1" a="1"/>
  <c r="C40" i="1" s="1"/>
  <c r="C41" i="1" a="1"/>
  <c r="C41" i="1" s="1"/>
  <c r="C42" i="1" a="1"/>
  <c r="C42" i="1"/>
  <c r="C43" i="1" a="1"/>
  <c r="C43" i="1"/>
  <c r="C44" i="1" a="1"/>
  <c r="C44" i="1"/>
  <c r="C45" i="1" a="1"/>
  <c r="C45" i="1"/>
  <c r="C46" i="1" a="1"/>
  <c r="C46" i="1"/>
  <c r="C47" i="1" a="1"/>
  <c r="C47" i="1"/>
  <c r="C48" i="1" a="1"/>
  <c r="C48" i="1"/>
  <c r="C49" i="1" a="1"/>
  <c r="C49" i="1"/>
  <c r="C50" i="1" a="1"/>
  <c r="C50" i="1"/>
  <c r="C51" i="1" a="1"/>
  <c r="C51" i="1" s="1"/>
  <c r="C52" i="1" a="1"/>
  <c r="C52" i="1" s="1"/>
  <c r="C53" i="1" a="1"/>
  <c r="C53" i="1" s="1"/>
  <c r="C54" i="1" a="1"/>
  <c r="C54" i="1"/>
  <c r="C55" i="1" a="1"/>
  <c r="C55" i="1"/>
  <c r="C56" i="1" a="1"/>
  <c r="C56" i="1"/>
  <c r="C57" i="1" a="1"/>
  <c r="C57" i="1"/>
  <c r="C58" i="1" a="1"/>
  <c r="C58" i="1"/>
  <c r="C59" i="1" a="1"/>
  <c r="C59" i="1"/>
  <c r="C60" i="1" a="1"/>
  <c r="C60" i="1"/>
  <c r="C61" i="1" a="1"/>
  <c r="C61" i="1"/>
  <c r="C62" i="1" a="1"/>
  <c r="C62" i="1"/>
  <c r="C63" i="1" a="1"/>
  <c r="C63" i="1" s="1"/>
  <c r="C64" i="1" a="1"/>
  <c r="C64" i="1" s="1"/>
  <c r="C65" i="1" a="1"/>
  <c r="C65" i="1" s="1"/>
  <c r="C66" i="1" a="1"/>
  <c r="C66" i="1"/>
  <c r="C67" i="1" a="1"/>
  <c r="C67" i="1"/>
  <c r="C68" i="1" a="1"/>
  <c r="C68" i="1"/>
  <c r="C69" i="1" a="1"/>
  <c r="C69" i="1"/>
  <c r="C70" i="1" a="1"/>
  <c r="C70" i="1"/>
  <c r="C71" i="1" a="1"/>
  <c r="C71" i="1"/>
  <c r="C72" i="1" a="1"/>
  <c r="C72" i="1" s="1"/>
  <c r="C73" i="1" a="1"/>
  <c r="C73" i="1"/>
  <c r="C74" i="1" a="1"/>
  <c r="C74" i="1"/>
  <c r="C75" i="1" a="1"/>
  <c r="C75" i="1" s="1"/>
  <c r="C76" i="1" a="1"/>
  <c r="C76" i="1" s="1"/>
  <c r="C77" i="1" a="1"/>
  <c r="C77" i="1" s="1"/>
  <c r="C78" i="1" a="1"/>
  <c r="C78" i="1"/>
  <c r="C79" i="1" a="1"/>
  <c r="C79" i="1"/>
  <c r="C80" i="1" a="1"/>
  <c r="C80" i="1"/>
  <c r="C81" i="1" a="1"/>
  <c r="C81" i="1"/>
  <c r="C82" i="1" a="1"/>
  <c r="C82" i="1"/>
  <c r="C83" i="1" a="1"/>
  <c r="C83" i="1"/>
  <c r="C84" i="1" a="1"/>
  <c r="C84" i="1"/>
  <c r="C85" i="1" a="1"/>
  <c r="C85" i="1"/>
  <c r="C86" i="1" a="1"/>
  <c r="C86" i="1"/>
  <c r="C87" i="1" a="1"/>
  <c r="C87" i="1" s="1"/>
  <c r="C88" i="1" a="1"/>
  <c r="C88" i="1" s="1"/>
  <c r="C89" i="1" a="1"/>
  <c r="C89" i="1" s="1"/>
  <c r="C90" i="1" a="1"/>
  <c r="C90" i="1"/>
  <c r="C91" i="1" a="1"/>
  <c r="C91" i="1"/>
  <c r="C2" i="1" a="1"/>
  <c r="C2" i="1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<sst xmlns="http://schemas.openxmlformats.org/spreadsheetml/2006/main" count="312" uniqueCount="219">
  <si>
    <t>ID</t>
    <phoneticPr fontId="1" type="noConversion"/>
  </si>
  <si>
    <t>Name</t>
    <phoneticPr fontId="1" type="noConversion"/>
  </si>
  <si>
    <t>Description</t>
    <phoneticPr fontId="1" type="noConversion"/>
  </si>
  <si>
    <t>Tier</t>
    <phoneticPr fontId="1" type="noConversion"/>
  </si>
  <si>
    <t>MaxHP</t>
    <phoneticPr fontId="1" type="noConversion"/>
  </si>
  <si>
    <t>Attack</t>
    <phoneticPr fontId="1" type="noConversion"/>
  </si>
  <si>
    <t>Defense</t>
    <phoneticPr fontId="1" type="noConversion"/>
  </si>
  <si>
    <t>MoveSpeed</t>
    <phoneticPr fontId="1" type="noConversion"/>
  </si>
  <si>
    <t>무지캡모자</t>
    <phoneticPr fontId="1" type="noConversion"/>
  </si>
  <si>
    <t>니트 털모자</t>
    <phoneticPr fontId="1" type="noConversion"/>
  </si>
  <si>
    <t>빅 브라더 페도라</t>
    <phoneticPr fontId="1" type="noConversion"/>
  </si>
  <si>
    <t>리본 베레모</t>
    <phoneticPr fontId="1" type="noConversion"/>
  </si>
  <si>
    <t>방탄 헬멧</t>
    <phoneticPr fontId="1" type="noConversion"/>
  </si>
  <si>
    <t>프릴 미니 햇</t>
    <phoneticPr fontId="1" type="noConversion"/>
  </si>
  <si>
    <t>버킷 햇</t>
    <phoneticPr fontId="1" type="noConversion"/>
  </si>
  <si>
    <t>리프 리본 페도라</t>
    <phoneticPr fontId="1" type="noConversion"/>
  </si>
  <si>
    <t>세일러 햇</t>
    <phoneticPr fontId="1" type="noConversion"/>
  </si>
  <si>
    <t>게이밍 헬멧</t>
    <phoneticPr fontId="1" type="noConversion"/>
  </si>
  <si>
    <t>Hat</t>
    <phoneticPr fontId="1" type="noConversion"/>
  </si>
  <si>
    <t>스포츠웨어 브랜드, &lt;서벌&gt;에서 출시한 남색의 무지 캡모자. 다양한 종류의 배지를 달아 개성을 강조할 수 있기 때문에 패션용으로도 애용되고 있다.</t>
  </si>
  <si>
    <t>아웃도어 브랜드, &lt;마나슬루&gt;에서 여고생들을 겨냥하여 만든 니트 털모자. 보온성은 다소 떨어지지만 귀여운 디자인 덕분에 인기가 높다.</t>
  </si>
  <si>
    <t>&lt;모모 프렌즈&gt;의 캐릭터, 빅 브라더 인형이 달린 작은 페도라. 이 모자를 쓰면 갑자기 빅 브라더의 시선이 느껴진다고 한다.</t>
  </si>
  <si>
    <t>머리를 향해 날아오는 온갖 물건을 막아낼 수 있는 튼튼한 방탄 헬멧. 외피는 부드러운 면 소재로 제작되어 패치 등을 붙여 꾸밀 수 있다.</t>
  </si>
  <si>
    <t>화려한 프릴로 장식된 미니 햇. 챙 아래에 모자를 고정시키기 위한 작은 헤어핀이 숨겨져 있다.</t>
  </si>
  <si>
    <t>얼굴 윗부분을 내리덮는 버킷 햇. 마스크와 조합하면 얼굴의 노출을 최소한으로 할 수 있기 때문에 자외선 대책에도 OK.</t>
  </si>
  <si>
    <t>나뭇잎 장식이 리본 모양으로 꽂혀 있는 패브릭 페도라. 휴양지 패션에 잘 어울린다.</t>
  </si>
  <si>
    <t>음료수를 장착할 수 있는 모자. 빨대가 달려 있어 게임 중에도 손을 쓰지 않고 음료를 섭취할 수 있다.</t>
  </si>
  <si>
    <t>트리니티 학원의 교모로도 사용되는 흰색의 리본 베레모. 착용자의 말에 의하면 베레모의 볼륨감을 예쁘게 살리는 것이 생각보다 어렵다고 한다.</t>
  </si>
  <si>
    <t>줄무늬로 가볍게 포인트를 준 흰색 세일러 햇. 심플한 디자인의 이 모자는 오디세이아 해양학원의 교모로도 사용되고 있다.</t>
  </si>
  <si>
    <t>스포츠용 장갑</t>
    <phoneticPr fontId="1" type="noConversion"/>
  </si>
  <si>
    <t>니트 벙어리 장갑</t>
    <phoneticPr fontId="1" type="noConversion"/>
  </si>
  <si>
    <t>페로로 오븐 장갑</t>
    <phoneticPr fontId="1" type="noConversion"/>
  </si>
  <si>
    <t>가죽 글러브</t>
    <phoneticPr fontId="1" type="noConversion"/>
  </si>
  <si>
    <t>택티컬 글러브</t>
    <phoneticPr fontId="1" type="noConversion"/>
  </si>
  <si>
    <t>레이스 글러브</t>
    <phoneticPr fontId="1" type="noConversion"/>
  </si>
  <si>
    <t>팔 토시 워머</t>
    <phoneticPr fontId="1" type="noConversion"/>
  </si>
  <si>
    <t>진주 털실 장갑</t>
    <phoneticPr fontId="1" type="noConversion"/>
  </si>
  <si>
    <t>세일링 글러브</t>
    <phoneticPr fontId="1" type="noConversion"/>
  </si>
  <si>
    <t>슈퍼 글러브</t>
    <phoneticPr fontId="1" type="noConversion"/>
  </si>
  <si>
    <t>Glove</t>
    <phoneticPr fontId="1" type="noConversion"/>
  </si>
  <si>
    <t>EquipPart</t>
    <phoneticPr fontId="1" type="noConversion"/>
  </si>
  <si>
    <t>IconKey</t>
    <phoneticPr fontId="1" type="noConversion"/>
  </si>
  <si>
    <t>쉽게 미끄러지지 않도록 울퉁불퉁한 겉감을 안쪽에 덧댄 스포츠용 장갑. 재질에 난연소재가 섞여있어 뜨거운 총신을 만질 때도 안심할 수 있다.</t>
  </si>
  <si>
    <t>아웃도어 브랜드, &lt;마나슬루&gt;에서 여고생들을 겨냥하여 만든 니트 벙어리 장갑. 보온성은 다소 떨어지지만 귀여운 디자인 덕분에 인기가 높다.</t>
  </si>
  <si>
    <t>&lt;모모 프렌즈&gt;의 마스코트 캐릭터, 페로로의 디자인을 따 만들어진 흰색의 오븐 장갑. 이 오븐 장갑을 끼면 갑자기 괴상한 댄스를 추고 싶은 욕망에 휩싸이게된다는 소문이 있다.</t>
  </si>
  <si>
    <t>고급 가죽 원단을 사용하여 만들어진 가죽 글러브. 내구도가 그리 높지 않기 때문에 주로 예식용으로 사용된다.</t>
  </si>
  <si>
    <t>방염 소재를 사용하여 튼튼하게 만들어진 택티컬 글러브. 뜨겁게 가열된 총신을 붙잡아도 데일 위험이 없다.</t>
  </si>
  <si>
    <t>새틴 소재로 만들어진 고급스러운 디자인의 글러브. 열에는 취약하기 때문에 화기를 취급할 때는 주의.</t>
  </si>
  <si>
    <t>팔 보호와 패션을 동시에 추구하는 학생들을 위한 토시 워머. 계절이 바뀔 때 사용하면 특히 효과적이다.</t>
  </si>
  <si>
    <t>진주 장식이 달린 털장갑. 손가락 부분은 노출되어 있어서 정교한 작업을 하는 데도 문제없다.</t>
  </si>
  <si>
    <t>손바닥에 안감이 더해진 오픈핑거 글러브 형태의 글러브. 통풍이 잘되는 합성수지로 제작된 이 글러브는 세일링과 같은 선박 작업에 적합하다.</t>
  </si>
  <si>
    <t>모션 인식 장치가 탑재된 게임용 글러브. 성능은 좋지 않았지만 후대의 게임 개발자들에게 큰 영감을 주었다.</t>
  </si>
  <si>
    <t>Shoes</t>
    <phoneticPr fontId="1" type="noConversion"/>
  </si>
  <si>
    <t>핑크 스니커즈</t>
    <phoneticPr fontId="1" type="noConversion"/>
  </si>
  <si>
    <t>어그 부츠</t>
    <phoneticPr fontId="1" type="noConversion"/>
  </si>
  <si>
    <t>핑키파카 슬리퍼</t>
    <phoneticPr fontId="1" type="noConversion"/>
  </si>
  <si>
    <t>앤티크 에나멜 로퍼</t>
    <phoneticPr fontId="1" type="noConversion"/>
  </si>
  <si>
    <t>전술 부츠</t>
    <phoneticPr fontId="1" type="noConversion"/>
  </si>
  <si>
    <t>펌프스 힐</t>
    <phoneticPr fontId="1" type="noConversion"/>
  </si>
  <si>
    <t>커주얼 스니커즈</t>
    <phoneticPr fontId="1" type="noConversion"/>
  </si>
  <si>
    <t>방수 등산 부츠</t>
    <phoneticPr fontId="1" type="noConversion"/>
  </si>
  <si>
    <t>아쿠아 샌들</t>
    <phoneticPr fontId="1" type="noConversion"/>
  </si>
  <si>
    <t>게이밍 슬리퍼</t>
    <phoneticPr fontId="1" type="noConversion"/>
  </si>
  <si>
    <t>스포츠웨어 브랜드 &lt;서벌&gt;에서 출시된 핑크색 스니커즈. 푹신한 소재의 밑창을 사용하여 달리기에 적합하다.</t>
  </si>
  <si>
    <t>아웃도어 브랜드 &lt;마나슬루&gt;의 방한용 장화. 귀여운 디자인에 보온성도 우수해 추운 지방의 여고생들에게 인기가 높다.</t>
  </si>
  <si>
    <t>&lt;모모 프렌즈&gt;의 핑크색 알파카, 핑키파카를 모티브로 만들어진 슬리퍼. 푹신하고 단열성[4]</t>
  </si>
  <si>
    <t>트리니티 학원의 학생들이 착용하는 고급 단화. 에나멜 도료로 마감되어 빛을 받으면 구두코가 반짝거린다.</t>
  </si>
  <si>
    <t>발을 보호하기 위해 두껍고 튼튼하게 만들어진 전술 부츠. 굽이 높아 키를 커보이게 하는 효과가 있기 때문에 키가 작은 학생들이 애용한다.</t>
  </si>
  <si>
    <t>귀여운 발목 끈이 달린 하이힐. 착용자의 걸음걸이를 우아하게 만들어준다.</t>
  </si>
  <si>
    <t>깔끔하게 만들어진 스니커즈. 착용감이 가벼워 활동량이 많은 학생에게 선호된다.</t>
  </si>
  <si>
    <t>천연고무에 방수 코팅을 해서 통기성이 좋고 내구성이 좋은 등산용 부츠. 물에 빠져도 겉면은 젖지 않는다.</t>
  </si>
  <si>
    <t>물 빠짐이 쉽도록 방수 재질로 만들어진 일체형 샌들. 물기가 많은 곳에서도 쉽게 미끄러지지 않도록 바닥에는 패드가 부착되어 있다.</t>
  </si>
  <si>
    <t>빨간색, 녹색, 파란색으로 번쩍이는 슬리퍼. 어둠 속에서도 쉽게 찾을 수 있지만, 그것이 게임과 어떤 연관이 있는지는 아무도 모른다.</t>
  </si>
  <si>
    <t>Badge</t>
    <phoneticPr fontId="1" type="noConversion"/>
  </si>
  <si>
    <t>서벌 금속 배지</t>
    <phoneticPr fontId="1" type="noConversion"/>
  </si>
  <si>
    <t>마나슬루 펠트 배지</t>
    <phoneticPr fontId="1" type="noConversion"/>
  </si>
  <si>
    <t>앵그리 아델리 원형 배지</t>
    <phoneticPr fontId="1" type="noConversion"/>
  </si>
  <si>
    <t>베로니카 자수 배지</t>
    <phoneticPr fontId="1" type="noConversion"/>
  </si>
  <si>
    <t>카제야마 벨크로 배지</t>
    <phoneticPr fontId="1" type="noConversion"/>
  </si>
  <si>
    <t>코코데빌 실버 배지</t>
    <phoneticPr fontId="1" type="noConversion"/>
  </si>
  <si>
    <t>스트릿 배지</t>
    <phoneticPr fontId="1" type="noConversion"/>
  </si>
  <si>
    <t>로렐라이 배지</t>
    <phoneticPr fontId="1" type="noConversion"/>
  </si>
  <si>
    <t>하르피아 플렉시블 배지</t>
    <phoneticPr fontId="1" type="noConversion"/>
  </si>
  <si>
    <t>코인 배지</t>
    <phoneticPr fontId="1" type="noConversion"/>
  </si>
  <si>
    <t>유명 스포츠 브랜드 &lt;서벌&gt;의 로고가 인쇄된 금속 배지. 튼튼한 금속으로 제작되어 긁힐 걱정이 없다.</t>
  </si>
  <si>
    <t>아웃도어 전문 브랜드 &lt;마나슬루&gt;의 로고가 인쇄된 펠트 배지. 부드러운 펠트로 제작되어 방한용품과도 안성맞춤.</t>
  </si>
  <si>
    <t>&lt;모모 프렌즈&gt;의 앵그리 아델리가 그려진 원형 배지. 오랫동안 쳐다보고 있노라면 어쩐지 기분이 나빠진다…….</t>
  </si>
  <si>
    <t>명품 브랜드 &lt;베로니카&gt;의 로고가 자수로 수놓아진 와펜 배지. 어느 기성품 위에 올려놓더라도 고급스러워 보인다.</t>
  </si>
  <si>
    <t>밀리터리 전문 브랜드 &lt;카제야마&gt;의 로고가 인쇄된 벨크로 패치. 뒷면의 벨크로를 이용하여 옷에 쉽게 탈부착시킬 수 있다.</t>
  </si>
  <si>
    <t>고스로리 전문 브랜드 &lt;코코데빌&gt;의 로고가 인쇄된 실버 배지. 뒤편의 옷핀을 사용하여 브로치처럼 착용할 수 있다.</t>
  </si>
  <si>
    <t>스트릿 패션 브랜드, &lt;트리플 스텝&gt;에서 출시한 배지. 자사의 이름을 중앙에 크게 인쇄했다는 점에서, 브랜드를 향한 제작사의 자부심을 엿볼 수 있다.</t>
  </si>
  <si>
    <t>모던 패션 브랜드 &lt;로렐라이&gt;에서 내놓은 드러나는 배지. 단단한 나무에 정교한 수제 가공을 거쳐, 표면이 매끄럽고 좋은 향기가 난다고 한다.</t>
  </si>
  <si>
    <t>해양 스포츠 브랜드 &lt;하르피아&gt;의 로고가 인쇄된 와펜 배지. 부드러운 고무 소재로 제작되어 오염에 강하기 때문에 어느 곳에나 부담 없이 붙여 장식할 수 있다.</t>
  </si>
  <si>
    <t>오락실에서 쓰이던 코인을 모티브로 만들어진 금속 배지. 크기가 제법 크기 때문에 게임기에 넣을 수는 없다.</t>
  </si>
  <si>
    <t>Bag</t>
    <phoneticPr fontId="1" type="noConversion"/>
  </si>
  <si>
    <t>방수 스포츠백</t>
    <phoneticPr fontId="1" type="noConversion"/>
  </si>
  <si>
    <t>방한용 크로스백</t>
    <phoneticPr fontId="1" type="noConversion"/>
  </si>
  <si>
    <t>페로로 백팩</t>
    <phoneticPr fontId="1" type="noConversion"/>
  </si>
  <si>
    <t>감색 스쿨백</t>
    <phoneticPr fontId="1" type="noConversion"/>
  </si>
  <si>
    <t>전술 란도셀</t>
    <phoneticPr fontId="1" type="noConversion"/>
  </si>
  <si>
    <t>데빌 윙 토트백</t>
    <phoneticPr fontId="1" type="noConversion"/>
  </si>
  <si>
    <t>스트릿 백</t>
    <phoneticPr fontId="1" type="noConversion"/>
  </si>
  <si>
    <t>버터플라이 숄더백</t>
    <phoneticPr fontId="1" type="noConversion"/>
  </si>
  <si>
    <t>슬링 드라이백</t>
    <phoneticPr fontId="1" type="noConversion"/>
  </si>
  <si>
    <t>메탈 케이스</t>
    <phoneticPr fontId="1" type="noConversion"/>
  </si>
  <si>
    <t>&lt;서벌&gt;에서 제작된 방수 스포츠백. 물에 젖지 않는 소재로 만들어졌기 때문에 강이나 바다에 가져가도 안심할 수 있다.</t>
  </si>
  <si>
    <t>&lt;마나슬루&gt;에서 제작한 방한용 크로스백. 두터운 안감이 덧대어져 있어 도시락이나 음료 등을 식지않게 보온해준다.</t>
  </si>
  <si>
    <t>거대한 페로로가 인쇄된 백팩. 수납공간이 넓어 페로로 매니아가 아닌 사람들에게도 큰 인기를 끌고 있다.</t>
  </si>
  <si>
    <t>트리니티 학원의 교칙에 맞춰 제작된 감색의 스쿨백. 심플하고 고급스러운 디자인 덕분에 다른 학교의 학생들에게도 인기가 높다.</t>
  </si>
  <si>
    <t>기능성과 수납성을 강화한 카제야마 사의 특제 란도셀. 부무장을 많이 들고 다니는 학생들에게 호평받고 있다.</t>
  </si>
  <si>
    <t>커다란 악마의 날개가 그려진 토트백. 심플한 디자인 덕분에 캐주얼한 복장에도 잘 어울린다.</t>
  </si>
  <si>
    <t>캐주얼한 분위기에 실용성을 더한 스트릿 백. 특유의 넉넉한 수납공간으로, 선호하는 학생들이 제법 있다.</t>
  </si>
  <si>
    <t>커다란 나비가 그려진 숄더백. 가벼운 소재라서 여행을 다닐 때 메고 다녀도 부담이 없다.</t>
  </si>
  <si>
    <t>한쪽 어깨에 걸어 휴대할 수 있는 슬링백 형태의 가방. 방수 소재로 만들어졌기에 물기에 취약한 전자제품 등을 보관하기에 좋다.</t>
  </si>
  <si>
    <t>배터리가 내장된 방탄 합금 재질의 백팩. 소총의 연사 정도는 너끈하게 막아낼 수 있어 전자기기의 보관에 적합하다.</t>
  </si>
  <si>
    <t>Hairpin</t>
    <phoneticPr fontId="1" type="noConversion"/>
  </si>
  <si>
    <t>테니스 헤어밴드</t>
    <phoneticPr fontId="1" type="noConversion"/>
  </si>
  <si>
    <t>헤어 슈슈</t>
    <phoneticPr fontId="1" type="noConversion"/>
  </si>
  <si>
    <t>모모 헤어핀</t>
    <phoneticPr fontId="1" type="noConversion"/>
  </si>
  <si>
    <t>날개 헤어핀</t>
    <phoneticPr fontId="1" type="noConversion"/>
  </si>
  <si>
    <t>다목적 헤어핀</t>
    <phoneticPr fontId="1" type="noConversion"/>
  </si>
  <si>
    <t>박쥐 헤어핀</t>
    <phoneticPr fontId="1" type="noConversion"/>
  </si>
  <si>
    <t>캘리그라피 헤어핀</t>
    <phoneticPr fontId="1" type="noConversion"/>
  </si>
  <si>
    <t>나뭇잎 헤어핀</t>
    <phoneticPr fontId="1" type="noConversion"/>
  </si>
  <si>
    <t>앵커 헤어핀</t>
    <phoneticPr fontId="1" type="noConversion"/>
  </si>
  <si>
    <t>전자파 차단 헤어핀</t>
    <phoneticPr fontId="1" type="noConversion"/>
  </si>
  <si>
    <t>스포츠웨어 브랜드, &lt;서벌&gt;의 테니스 헤어밴드. 운동 중 땀이 흘러내리는 것을 방지할 수 있도록 흡습력이 높은 소재로 만들어졌다.</t>
  </si>
  <si>
    <t>새틴 재질의 탄력성이 좋은 슈슈. 따듯한 국물 음식을 먹을 때는 이 슈슈로 머리를 묶어두는 게 좋다.</t>
  </si>
  <si>
    <t>&lt;모모톡&gt;의 아이콘인 복숭아 모양의 브로치가 달린 헤어핀. 브로치를 문지르면 은은한 복숭아 향이 난다.</t>
  </si>
  <si>
    <t>명품 브랜드 &lt;베로니카&gt;에서 천사의 날개를 모티브로 삼아 제작한 헤어핀. 정작 트리니티 학생들에게는 인기가 없는 편이다.</t>
  </si>
  <si>
    <t>한쪽 끝을 날카롭게 연마하여 유사시에 병따개, 주머니칼 등으로도 활용할 수 있는 다목적 헤어핀. 무심코 머리를 빗다 손을 다칠 수 있으므로 취급에 주의.</t>
  </si>
  <si>
    <t>검은 리본을 닮은 박쥐 모양의 헤어핀. 착용자에게 소악마와 같은 매력을 부여한다.</t>
  </si>
  <si>
    <t>글자로 만들어진 헤어핀. 단어 자체에 큰 의미가 담겨 있지는 않지만, 패션 피플들의 감성을 자극하기에는 충분하다.</t>
  </si>
  <si>
    <t>나뭇잎 형태의 헤어핀. 일상생활에서 쓰기에는 조금 튀어 보일 수 있어도, 기념일에 착용하는 것은 생각보다 잘 어울린다고 한다.</t>
  </si>
  <si>
    <t>두 개의 갈고리가 달린 닻 모양의 헤어핀. 디자인은 예쁘지만, 머리를 묶을 때 갈고리에 머리가 자주 엉켜 실제로 쓰기에는 조금 불편하다고 한다.</t>
  </si>
  <si>
    <t>전자파를 차단해 주어 뇌 건강 증진에 도움을 주는 헤어핀. 물론 이 효능이 정말일지는 아무도 모른다.</t>
  </si>
  <si>
    <t>Necklace</t>
    <phoneticPr fontId="1" type="noConversion"/>
  </si>
  <si>
    <t>블루투스 목걸이</t>
    <phoneticPr fontId="1" type="noConversion"/>
  </si>
  <si>
    <t>눈꽃 펜던트</t>
    <phoneticPr fontId="1" type="noConversion"/>
  </si>
  <si>
    <t>니콜라이 로켓</t>
    <phoneticPr fontId="1" type="noConversion"/>
  </si>
  <si>
    <t>십자가 초커</t>
    <phoneticPr fontId="1" type="noConversion"/>
  </si>
  <si>
    <t>도그택</t>
    <phoneticPr fontId="1" type="noConversion"/>
  </si>
  <si>
    <t>펑크초커</t>
    <phoneticPr fontId="1" type="noConversion"/>
  </si>
  <si>
    <t>체인 목걸이</t>
    <phoneticPr fontId="1" type="noConversion"/>
  </si>
  <si>
    <t>그린리프 목걸이</t>
    <phoneticPr fontId="1" type="noConversion"/>
  </si>
  <si>
    <t>옥토퍼스 홀더</t>
    <phoneticPr fontId="1" type="noConversion"/>
  </si>
  <si>
    <t>메모리 네클리스</t>
    <phoneticPr fontId="1" type="noConversion"/>
  </si>
  <si>
    <t>착용자의 체온이나 심박수 등을 측정할 수 있는 블루투스 목걸이. 운동량을 쉽게 파악할 수 있기 때문에 다이어트를 시도하는 사람들에게는 필수품처럼 애용된다.</t>
  </si>
  <si>
    <t>눈꽃 모양의 장식이 달린 은색의 펜던트. 눈꽃 장식을 오래 쳐다보고 있으면 어쩐지 서늘한 느낌이 든다.</t>
  </si>
  <si>
    <t>&lt;모모 프렌즈&gt;의 캐릭터 Mr.니콜라이의 얼굴이 매달린 로켓. 코 부분을 누르면 사진을 넣을 수 있는 작은 수납 공간이 열린다.</t>
  </si>
  <si>
    <t>명품 브랜드 &lt;베로니카&gt;에서 출시된 십자가 장식이 달린 초커. 심플하지만 세련된 멋이 담긴 아이템으로 인기가 높다.</t>
  </si>
  <si>
    <t>학번과 이름이 새겨진 도그택. 자신을 어필할 수 있는 신상 악세사리로 여고생들 사이에서 큰 인기를 끌고 있다.</t>
  </si>
  <si>
    <t>날카로운 스파이크가 박힌 펑크 스타일 초커. 목에 차면 고개를 끄덕이기 조금 힘들어진다.</t>
  </si>
  <si>
    <t>사슬로 만들어진 목걸이. 찰랑거리는 소리가 기분 좋게 들리기도 하지만, 감촉이 지나치게 차갑다는 의견도 있다.</t>
  </si>
  <si>
    <t>모던 패션 브랜드 &lt;로렐라이&gt;에서 내놓은 목걸이. 이파리가 빛을 받으면 은은한 광택이 난다고 한다.</t>
  </si>
  <si>
    <t>다이버들이 호흡기를 고정하기 위해 사용하는 목걸이 형태의 홀더. &lt;하르피아&gt;의 홀더는 차분한 색과 디자인 덕분에 패션 용도로도 종종 사용되곤 한다.</t>
  </si>
  <si>
    <t>장식물로 위장된 저장장치를 달고 있는 목걸이. 겉보기엔 화려하지만 안에는 어떤 은밀한 것이 담겨 있을지 모른다.</t>
  </si>
  <si>
    <t>Charm</t>
    <phoneticPr fontId="1" type="noConversion"/>
  </si>
  <si>
    <t>교통안전 부적</t>
    <phoneticPr fontId="1" type="noConversion"/>
  </si>
  <si>
    <t>발열팩</t>
    <phoneticPr fontId="1" type="noConversion"/>
  </si>
  <si>
    <t>페로로의 깃털</t>
    <phoneticPr fontId="1" type="noConversion"/>
  </si>
  <si>
    <t>십자가</t>
    <phoneticPr fontId="1" type="noConversion"/>
  </si>
  <si>
    <t>카모 달마</t>
    <phoneticPr fontId="1" type="noConversion"/>
  </si>
  <si>
    <t>저주 인형</t>
    <phoneticPr fontId="1" type="noConversion"/>
  </si>
  <si>
    <t>휴대용 탈취제</t>
    <phoneticPr fontId="1" type="noConversion"/>
  </si>
  <si>
    <t>드림캐쳐 부적</t>
    <phoneticPr fontId="1" type="noConversion"/>
  </si>
  <si>
    <t>상어 이빨 부적</t>
    <phoneticPr fontId="1" type="noConversion"/>
  </si>
  <si>
    <t>키캡 토이</t>
    <phoneticPr fontId="1" type="noConversion"/>
  </si>
  <si>
    <t>교통안전을 기원하는 마음을 담아 만든 부적. 흔들어보면 금속제의 무언가가 안에서 짤랑거리는 소리가 난다.</t>
  </si>
  <si>
    <t>몇 번 주무르고 흔들면 따듯한 온기를 발산하는 손바닥 크기의 발열팩. 혹한의 환경에서 이보다 더 쓸모있는 부적은 없다.</t>
  </si>
  <si>
    <t>커다랗고 하얀 깃털을 달아 만든 부적. 깃털의 출처는 모모 프렌즈의 중대한 영업 기밀이다.</t>
  </si>
  <si>
    <t>트리니티 학생들이 애용하는 십자가 형태의 부적. 가방에 매다는 액세서리로도 잘 어울린다.</t>
  </si>
  <si>
    <t>위장패턴이 그려진 달마 인형. 어떤 장소에 올려놓아도 자연스럽게 배경에 녹아든다.</t>
  </si>
  <si>
    <t>원한 등의 강렬한 감정이 깃들어 있을 것 같은 저주 인형. 핀쿠션으로 쓰기 쉬워서 수예부 학생들에게 인기가 많다.</t>
  </si>
  <si>
    <t>기능성 화장품 제조사, &lt;씨사이드&gt;와의 콜라보레이션으로 제작된 휴대용 탈취제. 디자인이 패셔너블하기 때문에 키링에 걸어 액세서리처럼 달고 다니는 학생들도 많다.</t>
  </si>
  <si>
    <t>악몽을 잡아준다는 주술적인 의미를 가진 물건이다. 냄새를 맡으면 나무 특유의 좋은 향기가 난다.</t>
  </si>
  <si>
    <t>날카로운 상어의 이빨을 엮어 만든 부적. 이 부적을 지니고 있으면 해난 사고를 막아준다는 이야기가 있다.</t>
  </si>
  <si>
    <t>키보드 키캡으로 만든 피젯 토이. 눌러도 아무 일도 벌어지지 않지만, 찰칵거리는 소리가 심신에 안정을 준다.</t>
  </si>
  <si>
    <t>Watch</t>
    <phoneticPr fontId="1" type="noConversion"/>
  </si>
  <si>
    <t>방수 디지털 시계</t>
    <phoneticPr fontId="1" type="noConversion"/>
  </si>
  <si>
    <t>가죽 손목 시계</t>
    <phoneticPr fontId="1" type="noConversion"/>
  </si>
  <si>
    <t>웨이브캣 손목 시계</t>
    <phoneticPr fontId="1" type="noConversion"/>
  </si>
  <si>
    <t>앤티크 회중 시계</t>
    <phoneticPr fontId="1" type="noConversion"/>
  </si>
  <si>
    <t>방진 손목 시계</t>
    <phoneticPr fontId="1" type="noConversion"/>
  </si>
  <si>
    <t>고딕풍 손목 시계</t>
    <phoneticPr fontId="1" type="noConversion"/>
  </si>
  <si>
    <t>스트릿 패션 시계</t>
    <phoneticPr fontId="1" type="noConversion"/>
  </si>
  <si>
    <t>로렐라이 손목 시계</t>
    <phoneticPr fontId="1" type="noConversion"/>
  </si>
  <si>
    <t>다이버 워치</t>
    <phoneticPr fontId="1" type="noConversion"/>
  </si>
  <si>
    <t>스크린 워치</t>
    <phoneticPr fontId="1" type="noConversion"/>
  </si>
  <si>
    <t>스포츠웨어 브랜드 &lt;서벌&gt;에서 제작된 디지털 시계. 방수 사양이기 때문에 수영을 하는 동안 착용하고 있어도 고장날 염려가 없다.</t>
  </si>
  <si>
    <t>아웃도어 브랜드 &lt;마나슬루&gt;에서 제작된 가죽 재질의 손목 시계. 가죽으로 마감된 안감이 손목이 차가워지는 것을 방지한다.</t>
  </si>
  <si>
    <t>&lt;모모 프렌즈&gt;의 고양이 캐릭터 웨이브캣이 그려진 손목 시계. 시간에 맞추어 시계 바늘 역할을 하는 웨이브캣의 양팔이 기괴하게 뒤틀린다.</t>
  </si>
  <si>
    <t>&lt;베로니카&gt;의 로고가 새겨진 앤티크 풍의 회중 시계. 손목시계에 비해 시간을 확인하기 불편하다는 단점이 있지만, 패션 아이템으로 인기가 높다.</t>
  </si>
  <si>
    <t>밀리터리 전문 브랜드 &lt;카제야마&gt;에서 제작된 방진 손목 시계. 방진 기능을 강화하여 거친 환경에서도 고장 걱정 없이 사용할 수 있다.</t>
  </si>
  <si>
    <t>고딕풍으로 디자인된 손목 시계. 클래식한 의상에도 잘 어울리지만, 익숙해지지 않으면 시간을 읽기 어렵다는 단점이 있다.</t>
  </si>
  <si>
    <t>모던하면서도 귀여운 디자인이 호평인 스트릿 패션 시계. &lt;트리플 스탭&gt;은 여기에 팔찌까지 세트로 묶어 판매하는 전략을 사용하고 있다.</t>
  </si>
  <si>
    <t>모던 패션 브랜드 &lt;로렐라이&gt;에서 내놓은 손목 시계. 나무와 가죽의 조합이 독특한 세련미를 풍긴다.</t>
  </si>
  <si>
    <t>해양 스포츠 브랜드 &lt;하르피아&gt;에서 선보인 다이버용 스마트 워치. 방수 기능은 물론이고 깊은 수심에서도 수압 걱정 없이 수중 환경을 체크할 수 있다.</t>
  </si>
  <si>
    <t>터치 스크린이 탑재된 시계. 온갖 게임을 포팅해 구동시킬 수 있지만, 성능은 구동에 의의를 둬야 할 수준이다.</t>
  </si>
  <si>
    <t>MaxStack</t>
    <phoneticPr fontId="1" type="noConversion"/>
  </si>
  <si>
    <t>하급 강화석</t>
    <phoneticPr fontId="1" type="noConversion"/>
  </si>
  <si>
    <t>1~3레벨 무기 강화 재료</t>
    <phoneticPr fontId="1" type="noConversion"/>
  </si>
  <si>
    <t>Icon_WeaponUpgradeStone_Tier1</t>
    <phoneticPr fontId="1" type="noConversion"/>
  </si>
  <si>
    <t>4~7레벨 무기 강화 재료</t>
    <phoneticPr fontId="1" type="noConversion"/>
  </si>
  <si>
    <t>8~10레벨 무기 강화 재료</t>
    <phoneticPr fontId="1" type="noConversion"/>
  </si>
  <si>
    <t>Icon_WeaponUpgradeStone_Tier2</t>
    <phoneticPr fontId="1" type="noConversion"/>
  </si>
  <si>
    <t>Icon_WeaponUpgradeStone_Tier3</t>
    <phoneticPr fontId="1" type="noConversion"/>
  </si>
  <si>
    <t>중급 강화석</t>
    <phoneticPr fontId="1" type="noConversion"/>
  </si>
  <si>
    <t>상급 강화석</t>
    <phoneticPr fontId="1" type="noConversion"/>
  </si>
  <si>
    <t>EffectValue</t>
    <phoneticPr fontId="1" type="noConversion"/>
  </si>
  <si>
    <t>Duration</t>
    <phoneticPr fontId="1" type="noConversion"/>
  </si>
  <si>
    <t>Icon_Portion_HP</t>
    <phoneticPr fontId="1" type="noConversion"/>
  </si>
  <si>
    <t>HP를 50 회복</t>
    <phoneticPr fontId="1" type="noConversion"/>
  </si>
  <si>
    <t>HP 회복 포션</t>
    <phoneticPr fontId="1" type="noConversion"/>
  </si>
  <si>
    <t xml:space="preserve">Grade  </t>
    <phoneticPr fontId="1" type="noConversion"/>
  </si>
  <si>
    <t>Grade</t>
    <phoneticPr fontId="1" type="noConversion"/>
  </si>
  <si>
    <t>Common</t>
    <phoneticPr fontId="1" type="noConversion"/>
  </si>
  <si>
    <t>Uncommon</t>
    <phoneticPr fontId="1" type="noConversion"/>
  </si>
  <si>
    <t>Rare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</si>
</sst>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FB7A7-E3CC-4169-944D-8712D18417BF}">
  <dimension ref="A1:K91"/>
  <sheetViews>
    <sheetView tabSelected="1" workbookViewId="0">
      <selection activeCell="D17" sqref="D17"/>
    </sheetView>
  </sheetViews>
  <sheetFormatPr defaultRowHeight="16.5" x14ac:dyDescent="0.3"/>
  <cols>
    <col min="1" max="1" width="13.125" customWidth="1"/>
    <col min="2" max="2" width="32.75" customWidth="1"/>
    <col min="3" max="3" width="17.25" customWidth="1"/>
    <col min="4" max="4" width="16.5" customWidth="1"/>
    <col min="5" max="5" width="13.625" customWidth="1"/>
    <col min="7" max="7" width="15.375" customWidth="1"/>
    <col min="10" max="10" width="12.75" customWidth="1"/>
    <col min="11" max="11" width="28.125" customWidth="1"/>
  </cols>
  <sheetData>
    <row r="1" spans="1:11" x14ac:dyDescent="0.3">
      <c r="A1" s="1" t="s">
        <v>0</v>
      </c>
      <c r="B1" s="1" t="s">
        <v>41</v>
      </c>
      <c r="C1" s="1" t="s">
        <v>214</v>
      </c>
      <c r="D1" s="1" t="s">
        <v>1</v>
      </c>
      <c r="E1" s="1" t="s">
        <v>40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2</v>
      </c>
    </row>
    <row r="2" spans="1:11" x14ac:dyDescent="0.3">
      <c r="A2" s="1">
        <v>10000</v>
      </c>
      <c r="B2" s="1" t="str">
        <f>"Equipment_Icon_" &amp; E2 &amp; "_" &amp; "Tier" &amp; F2</f>
        <v>Equipment_Icon_Hat_Tier1</v>
      </c>
      <c r="C2" s="1" t="str" cm="1">
        <f t="array" ref="C2">_xlfn.IFS(F2&lt;=2, "Common", F2&lt;=4, "Uncommon", F2&lt;=6, "Rare", F2&lt;=8, "Epic", F2=9, "Legendary", F2&gt;=10, "Mythic")</f>
        <v>Common</v>
      </c>
      <c r="D2" s="1" t="s">
        <v>8</v>
      </c>
      <c r="E2" s="1" t="s">
        <v>18</v>
      </c>
      <c r="F2" s="1">
        <v>1</v>
      </c>
      <c r="G2" s="1">
        <v>0</v>
      </c>
      <c r="H2" s="1">
        <v>0</v>
      </c>
      <c r="I2" s="1">
        <v>0</v>
      </c>
      <c r="J2" s="1">
        <v>0</v>
      </c>
      <c r="K2" t="s">
        <v>19</v>
      </c>
    </row>
    <row r="3" spans="1:11" x14ac:dyDescent="0.3">
      <c r="A3" s="1">
        <v>10001</v>
      </c>
      <c r="B3" s="1" t="str">
        <f t="shared" ref="B3:B66" si="0">"Equipment_Icon_" &amp; E3 &amp; "_" &amp; "Tier" &amp; F3</f>
        <v>Equipment_Icon_Hat_Tier2</v>
      </c>
      <c r="C3" s="1" t="str" cm="1">
        <f t="array" ref="C3">_xlfn.IFS(F3&lt;=2, "Common", F3&lt;=4, "Uncommon", F3&lt;=6, "Rare", F3&lt;=8, "Epic", F3=9, "Legendary", F3&gt;=10, "Mythic")</f>
        <v>Common</v>
      </c>
      <c r="D3" s="1" t="s">
        <v>9</v>
      </c>
      <c r="E3" s="1" t="s">
        <v>18</v>
      </c>
      <c r="F3" s="1">
        <v>2</v>
      </c>
      <c r="G3" s="1">
        <v>0</v>
      </c>
      <c r="H3" s="1">
        <v>0</v>
      </c>
      <c r="I3" s="1">
        <v>0</v>
      </c>
      <c r="J3" s="1">
        <v>0</v>
      </c>
      <c r="K3" t="s">
        <v>20</v>
      </c>
    </row>
    <row r="4" spans="1:11" x14ac:dyDescent="0.3">
      <c r="A4" s="1">
        <v>10002</v>
      </c>
      <c r="B4" s="1" t="str">
        <f t="shared" si="0"/>
        <v>Equipment_Icon_Hat_Tier3</v>
      </c>
      <c r="C4" s="1" t="str" cm="1">
        <f t="array" ref="C4">_xlfn.IFS(F4&lt;=2, "Common", F4&lt;=4, "Uncommon", F4&lt;=6, "Rare", F4&lt;=8, "Epic", F4=9, "Legendary", F4&gt;=10, "Mythic")</f>
        <v>Uncommon</v>
      </c>
      <c r="D4" s="1" t="s">
        <v>10</v>
      </c>
      <c r="E4" s="1" t="s">
        <v>18</v>
      </c>
      <c r="F4" s="1">
        <v>3</v>
      </c>
      <c r="G4" s="1">
        <v>0</v>
      </c>
      <c r="H4" s="1">
        <v>0</v>
      </c>
      <c r="I4" s="1">
        <v>0</v>
      </c>
      <c r="J4" s="1">
        <v>0</v>
      </c>
      <c r="K4" t="s">
        <v>21</v>
      </c>
    </row>
    <row r="5" spans="1:11" x14ac:dyDescent="0.3">
      <c r="A5" s="1">
        <v>10003</v>
      </c>
      <c r="B5" s="1" t="str">
        <f t="shared" si="0"/>
        <v>Equipment_Icon_Hat_Tier4</v>
      </c>
      <c r="C5" s="1" t="str" cm="1">
        <f t="array" ref="C5">_xlfn.IFS(F5&lt;=2, "Common", F5&lt;=4, "Uncommon", F5&lt;=6, "Rare", F5&lt;=8, "Epic", F5=9, "Legendary", F5&gt;=10, "Mythic")</f>
        <v>Uncommon</v>
      </c>
      <c r="D5" s="1" t="s">
        <v>11</v>
      </c>
      <c r="E5" s="1" t="s">
        <v>18</v>
      </c>
      <c r="F5" s="1">
        <v>4</v>
      </c>
      <c r="G5" s="1">
        <v>0</v>
      </c>
      <c r="H5" s="1">
        <v>0</v>
      </c>
      <c r="I5" s="1">
        <v>0</v>
      </c>
      <c r="J5" s="1">
        <v>0</v>
      </c>
      <c r="K5" t="s">
        <v>27</v>
      </c>
    </row>
    <row r="6" spans="1:11" x14ac:dyDescent="0.3">
      <c r="A6" s="1">
        <v>10004</v>
      </c>
      <c r="B6" s="1" t="str">
        <f t="shared" si="0"/>
        <v>Equipment_Icon_Hat_Tier5</v>
      </c>
      <c r="C6" s="1" t="str" cm="1">
        <f t="array" ref="C6">_xlfn.IFS(F6&lt;=2, "Common", F6&lt;=4, "Uncommon", F6&lt;=6, "Rare", F6&lt;=8, "Epic", F6=9, "Legendary", F6&gt;=10, "Mythic")</f>
        <v>Rare</v>
      </c>
      <c r="D6" s="1" t="s">
        <v>12</v>
      </c>
      <c r="E6" s="1" t="s">
        <v>18</v>
      </c>
      <c r="F6" s="1">
        <v>5</v>
      </c>
      <c r="G6" s="1">
        <v>0</v>
      </c>
      <c r="H6" s="1">
        <v>0</v>
      </c>
      <c r="I6" s="1">
        <v>0</v>
      </c>
      <c r="J6" s="1">
        <v>0</v>
      </c>
      <c r="K6" t="s">
        <v>22</v>
      </c>
    </row>
    <row r="7" spans="1:11" x14ac:dyDescent="0.3">
      <c r="A7" s="1">
        <v>10005</v>
      </c>
      <c r="B7" s="1" t="str">
        <f t="shared" si="0"/>
        <v>Equipment_Icon_Hat_Tier6</v>
      </c>
      <c r="C7" s="1" t="str" cm="1">
        <f t="array" ref="C7">_xlfn.IFS(F7&lt;=2, "Common", F7&lt;=4, "Uncommon", F7&lt;=6, "Rare", F7&lt;=8, "Epic", F7=9, "Legendary", F7&gt;=10, "Mythic")</f>
        <v>Rare</v>
      </c>
      <c r="D7" s="1" t="s">
        <v>13</v>
      </c>
      <c r="E7" s="1" t="s">
        <v>18</v>
      </c>
      <c r="F7" s="1">
        <v>6</v>
      </c>
      <c r="G7" s="1">
        <v>0</v>
      </c>
      <c r="H7" s="1">
        <v>0</v>
      </c>
      <c r="I7" s="1">
        <v>0</v>
      </c>
      <c r="J7" s="1">
        <v>0</v>
      </c>
      <c r="K7" t="s">
        <v>23</v>
      </c>
    </row>
    <row r="8" spans="1:11" x14ac:dyDescent="0.3">
      <c r="A8" s="1">
        <v>10006</v>
      </c>
      <c r="B8" s="1" t="str">
        <f t="shared" si="0"/>
        <v>Equipment_Icon_Hat_Tier7</v>
      </c>
      <c r="C8" s="1" t="str" cm="1">
        <f t="array" ref="C8">_xlfn.IFS(F8&lt;=2, "Common", F8&lt;=4, "Uncommon", F8&lt;=6, "Rare", F8&lt;=8, "Epic", F8=9, "Legendary", F8&gt;=10, "Mythic")</f>
        <v>Epic</v>
      </c>
      <c r="D8" s="1" t="s">
        <v>14</v>
      </c>
      <c r="E8" s="1" t="s">
        <v>18</v>
      </c>
      <c r="F8" s="1">
        <v>7</v>
      </c>
      <c r="G8" s="1">
        <v>0</v>
      </c>
      <c r="H8" s="1">
        <v>0</v>
      </c>
      <c r="I8" s="1">
        <v>0</v>
      </c>
      <c r="J8" s="1">
        <v>0</v>
      </c>
      <c r="K8" t="s">
        <v>24</v>
      </c>
    </row>
    <row r="9" spans="1:11" x14ac:dyDescent="0.3">
      <c r="A9" s="1">
        <v>10007</v>
      </c>
      <c r="B9" s="1" t="str">
        <f t="shared" si="0"/>
        <v>Equipment_Icon_Hat_Tier8</v>
      </c>
      <c r="C9" s="1" t="str" cm="1">
        <f t="array" ref="C9">_xlfn.IFS(F9&lt;=2, "Common", F9&lt;=4, "Uncommon", F9&lt;=6, "Rare", F9&lt;=8, "Epic", F9=9, "Legendary", F9&gt;=10, "Mythic")</f>
        <v>Epic</v>
      </c>
      <c r="D9" s="1" t="s">
        <v>15</v>
      </c>
      <c r="E9" s="1" t="s">
        <v>18</v>
      </c>
      <c r="F9" s="1">
        <v>8</v>
      </c>
      <c r="G9" s="1">
        <v>0</v>
      </c>
      <c r="H9" s="1">
        <v>0</v>
      </c>
      <c r="I9" s="1">
        <v>0</v>
      </c>
      <c r="J9" s="1">
        <v>0</v>
      </c>
      <c r="K9" t="s">
        <v>25</v>
      </c>
    </row>
    <row r="10" spans="1:11" x14ac:dyDescent="0.3">
      <c r="A10" s="1">
        <v>10008</v>
      </c>
      <c r="B10" s="1" t="str">
        <f t="shared" si="0"/>
        <v>Equipment_Icon_Hat_Tier9</v>
      </c>
      <c r="C10" s="1" t="str" cm="1">
        <f t="array" ref="C10">_xlfn.IFS(F10&lt;=2, "Common", F10&lt;=4, "Uncommon", F10&lt;=6, "Rare", F10&lt;=8, "Epic", F10=9, "Legendary", F10&gt;=10, "Mythic")</f>
        <v>Legendary</v>
      </c>
      <c r="D10" s="1" t="s">
        <v>16</v>
      </c>
      <c r="E10" s="1" t="s">
        <v>18</v>
      </c>
      <c r="F10" s="1">
        <v>9</v>
      </c>
      <c r="G10" s="1">
        <v>0</v>
      </c>
      <c r="H10" s="1">
        <v>0</v>
      </c>
      <c r="I10" s="1">
        <v>0</v>
      </c>
      <c r="J10" s="1">
        <v>0</v>
      </c>
      <c r="K10" t="s">
        <v>28</v>
      </c>
    </row>
    <row r="11" spans="1:11" x14ac:dyDescent="0.3">
      <c r="A11" s="1">
        <v>10009</v>
      </c>
      <c r="B11" s="1" t="str">
        <f t="shared" si="0"/>
        <v>Equipment_Icon_Hat_Tier10</v>
      </c>
      <c r="C11" s="1" t="str" cm="1">
        <f t="array" ref="C11">_xlfn.IFS(F11&lt;=2, "Common", F11&lt;=4, "Uncommon", F11&lt;=6, "Rare", F11&lt;=8, "Epic", F11=9, "Legendary", F11&gt;=10, "Mythic")</f>
        <v>Mythic</v>
      </c>
      <c r="D11" s="1" t="s">
        <v>17</v>
      </c>
      <c r="E11" s="1" t="s">
        <v>18</v>
      </c>
      <c r="F11" s="1">
        <v>10</v>
      </c>
      <c r="G11" s="1">
        <v>0</v>
      </c>
      <c r="H11" s="1">
        <v>0</v>
      </c>
      <c r="I11" s="1">
        <v>0</v>
      </c>
      <c r="J11" s="1">
        <v>0</v>
      </c>
      <c r="K11" t="s">
        <v>26</v>
      </c>
    </row>
    <row r="12" spans="1:11" x14ac:dyDescent="0.3">
      <c r="A12" s="1">
        <v>10010</v>
      </c>
      <c r="B12" s="1" t="str">
        <f t="shared" si="0"/>
        <v>Equipment_Icon_Glove_Tier1</v>
      </c>
      <c r="C12" s="1" t="str" cm="1">
        <f t="array" ref="C12">_xlfn.IFS(F12&lt;=2, "Common", F12&lt;=4, "Uncommon", F12&lt;=6, "Rare", F12&lt;=8, "Epic", F12=9, "Legendary", F12&gt;=10, "Mythic")</f>
        <v>Common</v>
      </c>
      <c r="D12" s="1" t="s">
        <v>29</v>
      </c>
      <c r="E12" s="1" t="s">
        <v>39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t="s">
        <v>42</v>
      </c>
    </row>
    <row r="13" spans="1:11" x14ac:dyDescent="0.3">
      <c r="A13" s="1">
        <v>10011</v>
      </c>
      <c r="B13" s="1" t="str">
        <f t="shared" si="0"/>
        <v>Equipment_Icon_Glove_Tier2</v>
      </c>
      <c r="C13" s="1" t="str" cm="1">
        <f t="array" ref="C13">_xlfn.IFS(F13&lt;=2, "Common", F13&lt;=4, "Uncommon", F13&lt;=6, "Rare", F13&lt;=8, "Epic", F13=9, "Legendary", F13&gt;=10, "Mythic")</f>
        <v>Common</v>
      </c>
      <c r="D13" s="1" t="s">
        <v>30</v>
      </c>
      <c r="E13" s="1" t="s">
        <v>39</v>
      </c>
      <c r="F13" s="1">
        <v>2</v>
      </c>
      <c r="G13" s="1">
        <v>0</v>
      </c>
      <c r="H13" s="1">
        <v>0</v>
      </c>
      <c r="I13" s="1">
        <v>0</v>
      </c>
      <c r="J13" s="1">
        <v>0</v>
      </c>
      <c r="K13" t="s">
        <v>43</v>
      </c>
    </row>
    <row r="14" spans="1:11" x14ac:dyDescent="0.3">
      <c r="A14" s="1">
        <v>10012</v>
      </c>
      <c r="B14" s="1" t="str">
        <f t="shared" si="0"/>
        <v>Equipment_Icon_Glove_Tier3</v>
      </c>
      <c r="C14" s="1" t="str" cm="1">
        <f t="array" ref="C14">_xlfn.IFS(F14&lt;=2, "Common", F14&lt;=4, "Uncommon", F14&lt;=6, "Rare", F14&lt;=8, "Epic", F14=9, "Legendary", F14&gt;=10, "Mythic")</f>
        <v>Uncommon</v>
      </c>
      <c r="D14" s="1" t="s">
        <v>31</v>
      </c>
      <c r="E14" s="1" t="s">
        <v>39</v>
      </c>
      <c r="F14" s="1">
        <v>3</v>
      </c>
      <c r="G14" s="1">
        <v>0</v>
      </c>
      <c r="H14" s="1">
        <v>0</v>
      </c>
      <c r="I14" s="1">
        <v>0</v>
      </c>
      <c r="J14" s="1">
        <v>0</v>
      </c>
      <c r="K14" t="s">
        <v>44</v>
      </c>
    </row>
    <row r="15" spans="1:11" x14ac:dyDescent="0.3">
      <c r="A15" s="1">
        <v>10013</v>
      </c>
      <c r="B15" s="1" t="str">
        <f t="shared" si="0"/>
        <v>Equipment_Icon_Glove_Tier4</v>
      </c>
      <c r="C15" s="1" t="str" cm="1">
        <f t="array" ref="C15">_xlfn.IFS(F15&lt;=2, "Common", F15&lt;=4, "Uncommon", F15&lt;=6, "Rare", F15&lt;=8, "Epic", F15=9, "Legendary", F15&gt;=10, "Mythic")</f>
        <v>Uncommon</v>
      </c>
      <c r="D15" s="1" t="s">
        <v>32</v>
      </c>
      <c r="E15" s="1" t="s">
        <v>39</v>
      </c>
      <c r="F15" s="1">
        <v>4</v>
      </c>
      <c r="G15" s="1">
        <v>0</v>
      </c>
      <c r="H15" s="1">
        <v>0</v>
      </c>
      <c r="I15" s="1">
        <v>0</v>
      </c>
      <c r="J15" s="1">
        <v>0</v>
      </c>
      <c r="K15" t="s">
        <v>45</v>
      </c>
    </row>
    <row r="16" spans="1:11" x14ac:dyDescent="0.3">
      <c r="A16" s="1">
        <v>10014</v>
      </c>
      <c r="B16" s="1" t="str">
        <f t="shared" si="0"/>
        <v>Equipment_Icon_Glove_Tier5</v>
      </c>
      <c r="C16" s="1" t="str" cm="1">
        <f t="array" ref="C16">_xlfn.IFS(F16&lt;=2, "Common", F16&lt;=4, "Uncommon", F16&lt;=6, "Rare", F16&lt;=8, "Epic", F16=9, "Legendary", F16&gt;=10, "Mythic")</f>
        <v>Rare</v>
      </c>
      <c r="D16" s="1" t="s">
        <v>33</v>
      </c>
      <c r="E16" s="1" t="s">
        <v>39</v>
      </c>
      <c r="F16" s="1">
        <v>5</v>
      </c>
      <c r="G16" s="1">
        <v>0</v>
      </c>
      <c r="H16" s="1">
        <v>0</v>
      </c>
      <c r="I16" s="1">
        <v>0</v>
      </c>
      <c r="J16" s="1">
        <v>0</v>
      </c>
      <c r="K16" t="s">
        <v>46</v>
      </c>
    </row>
    <row r="17" spans="1:11" x14ac:dyDescent="0.3">
      <c r="A17" s="1">
        <v>10015</v>
      </c>
      <c r="B17" s="1" t="str">
        <f t="shared" si="0"/>
        <v>Equipment_Icon_Glove_Tier6</v>
      </c>
      <c r="C17" s="1" t="str" cm="1">
        <f t="array" ref="C17">_xlfn.IFS(F17&lt;=2, "Common", F17&lt;=4, "Uncommon", F17&lt;=6, "Rare", F17&lt;=8, "Epic", F17=9, "Legendary", F17&gt;=10, "Mythic")</f>
        <v>Rare</v>
      </c>
      <c r="D17" s="1" t="s">
        <v>34</v>
      </c>
      <c r="E17" s="1" t="s">
        <v>39</v>
      </c>
      <c r="F17" s="1">
        <v>6</v>
      </c>
      <c r="G17" s="1">
        <v>0</v>
      </c>
      <c r="H17" s="1">
        <v>0</v>
      </c>
      <c r="I17" s="1">
        <v>0</v>
      </c>
      <c r="J17" s="1">
        <v>0</v>
      </c>
      <c r="K17" t="s">
        <v>47</v>
      </c>
    </row>
    <row r="18" spans="1:11" x14ac:dyDescent="0.3">
      <c r="A18" s="1">
        <v>10016</v>
      </c>
      <c r="B18" s="1" t="str">
        <f t="shared" si="0"/>
        <v>Equipment_Icon_Glove_Tier7</v>
      </c>
      <c r="C18" s="1" t="str" cm="1">
        <f t="array" ref="C18">_xlfn.IFS(F18&lt;=2, "Common", F18&lt;=4, "Uncommon", F18&lt;=6, "Rare", F18&lt;=8, "Epic", F18=9, "Legendary", F18&gt;=10, "Mythic")</f>
        <v>Epic</v>
      </c>
      <c r="D18" s="1" t="s">
        <v>35</v>
      </c>
      <c r="E18" s="1" t="s">
        <v>39</v>
      </c>
      <c r="F18" s="1">
        <v>7</v>
      </c>
      <c r="G18" s="1">
        <v>0</v>
      </c>
      <c r="H18" s="1">
        <v>0</v>
      </c>
      <c r="I18" s="1">
        <v>0</v>
      </c>
      <c r="J18" s="1">
        <v>0</v>
      </c>
      <c r="K18" t="s">
        <v>48</v>
      </c>
    </row>
    <row r="19" spans="1:11" x14ac:dyDescent="0.3">
      <c r="A19" s="1">
        <v>10017</v>
      </c>
      <c r="B19" s="1" t="str">
        <f t="shared" si="0"/>
        <v>Equipment_Icon_Glove_Tier8</v>
      </c>
      <c r="C19" s="1" t="str" cm="1">
        <f t="array" ref="C19">_xlfn.IFS(F19&lt;=2, "Common", F19&lt;=4, "Uncommon", F19&lt;=6, "Rare", F19&lt;=8, "Epic", F19=9, "Legendary", F19&gt;=10, "Mythic")</f>
        <v>Epic</v>
      </c>
      <c r="D19" s="1" t="s">
        <v>36</v>
      </c>
      <c r="E19" s="1" t="s">
        <v>39</v>
      </c>
      <c r="F19" s="1">
        <v>8</v>
      </c>
      <c r="G19" s="1">
        <v>0</v>
      </c>
      <c r="H19" s="1">
        <v>0</v>
      </c>
      <c r="I19" s="1">
        <v>0</v>
      </c>
      <c r="J19" s="1">
        <v>0</v>
      </c>
      <c r="K19" t="s">
        <v>49</v>
      </c>
    </row>
    <row r="20" spans="1:11" x14ac:dyDescent="0.3">
      <c r="A20" s="1">
        <v>10018</v>
      </c>
      <c r="B20" s="1" t="str">
        <f t="shared" si="0"/>
        <v>Equipment_Icon_Glove_Tier9</v>
      </c>
      <c r="C20" s="1" t="str" cm="1">
        <f t="array" ref="C20">_xlfn.IFS(F20&lt;=2, "Common", F20&lt;=4, "Uncommon", F20&lt;=6, "Rare", F20&lt;=8, "Epic", F20=9, "Legendary", F20&gt;=10, "Mythic")</f>
        <v>Legendary</v>
      </c>
      <c r="D20" s="1" t="s">
        <v>37</v>
      </c>
      <c r="E20" s="1" t="s">
        <v>39</v>
      </c>
      <c r="F20" s="1">
        <v>9</v>
      </c>
      <c r="G20" s="1">
        <v>0</v>
      </c>
      <c r="H20" s="1">
        <v>0</v>
      </c>
      <c r="I20" s="1">
        <v>0</v>
      </c>
      <c r="J20" s="1">
        <v>0</v>
      </c>
      <c r="K20" t="s">
        <v>50</v>
      </c>
    </row>
    <row r="21" spans="1:11" x14ac:dyDescent="0.3">
      <c r="A21" s="1">
        <v>10019</v>
      </c>
      <c r="B21" s="1" t="str">
        <f t="shared" si="0"/>
        <v>Equipment_Icon_Glove_Tier10</v>
      </c>
      <c r="C21" s="1" t="str" cm="1">
        <f t="array" ref="C21">_xlfn.IFS(F21&lt;=2, "Common", F21&lt;=4, "Uncommon", F21&lt;=6, "Rare", F21&lt;=8, "Epic", F21=9, "Legendary", F21&gt;=10, "Mythic")</f>
        <v>Mythic</v>
      </c>
      <c r="D21" s="1" t="s">
        <v>38</v>
      </c>
      <c r="E21" s="1" t="s">
        <v>39</v>
      </c>
      <c r="F21" s="1">
        <v>10</v>
      </c>
      <c r="G21" s="1">
        <v>0</v>
      </c>
      <c r="H21" s="1">
        <v>0</v>
      </c>
      <c r="I21" s="1">
        <v>0</v>
      </c>
      <c r="J21" s="1">
        <v>0</v>
      </c>
      <c r="K21" t="s">
        <v>51</v>
      </c>
    </row>
    <row r="22" spans="1:11" x14ac:dyDescent="0.3">
      <c r="A22" s="1">
        <v>10020</v>
      </c>
      <c r="B22" s="1" t="str">
        <f t="shared" si="0"/>
        <v>Equipment_Icon_Shoes_Tier1</v>
      </c>
      <c r="C22" s="1" t="str" cm="1">
        <f t="array" ref="C22">_xlfn.IFS(F22&lt;=2, "Common", F22&lt;=4, "Uncommon", F22&lt;=6, "Rare", F22&lt;=8, "Epic", F22=9, "Legendary", F22&gt;=10, "Mythic")</f>
        <v>Common</v>
      </c>
      <c r="D22" s="1" t="s">
        <v>53</v>
      </c>
      <c r="E22" s="1" t="s">
        <v>52</v>
      </c>
      <c r="F22" s="1">
        <v>1</v>
      </c>
      <c r="G22" s="1">
        <v>0</v>
      </c>
      <c r="H22" s="1">
        <v>0</v>
      </c>
      <c r="I22" s="1">
        <v>0</v>
      </c>
      <c r="J22" s="1">
        <v>0</v>
      </c>
      <c r="K22" t="s">
        <v>63</v>
      </c>
    </row>
    <row r="23" spans="1:11" x14ac:dyDescent="0.3">
      <c r="A23" s="1">
        <v>10021</v>
      </c>
      <c r="B23" s="1" t="str">
        <f t="shared" si="0"/>
        <v>Equipment_Icon_Shoes_Tier2</v>
      </c>
      <c r="C23" s="1" t="str" cm="1">
        <f t="array" ref="C23">_xlfn.IFS(F23&lt;=2, "Common", F23&lt;=4, "Uncommon", F23&lt;=6, "Rare", F23&lt;=8, "Epic", F23=9, "Legendary", F23&gt;=10, "Mythic")</f>
        <v>Common</v>
      </c>
      <c r="D23" s="1" t="s">
        <v>54</v>
      </c>
      <c r="E23" s="1" t="s">
        <v>52</v>
      </c>
      <c r="F23" s="1">
        <v>2</v>
      </c>
      <c r="G23" s="1">
        <v>0</v>
      </c>
      <c r="H23" s="1">
        <v>0</v>
      </c>
      <c r="I23" s="1">
        <v>0</v>
      </c>
      <c r="J23" s="1">
        <v>0</v>
      </c>
      <c r="K23" t="s">
        <v>64</v>
      </c>
    </row>
    <row r="24" spans="1:11" x14ac:dyDescent="0.3">
      <c r="A24" s="1">
        <v>10022</v>
      </c>
      <c r="B24" s="1" t="str">
        <f t="shared" si="0"/>
        <v>Equipment_Icon_Shoes_Tier3</v>
      </c>
      <c r="C24" s="1" t="str" cm="1">
        <f t="array" ref="C24">_xlfn.IFS(F24&lt;=2, "Common", F24&lt;=4, "Uncommon", F24&lt;=6, "Rare", F24&lt;=8, "Epic", F24=9, "Legendary", F24&gt;=10, "Mythic")</f>
        <v>Uncommon</v>
      </c>
      <c r="D24" s="1" t="s">
        <v>55</v>
      </c>
      <c r="E24" s="1" t="s">
        <v>52</v>
      </c>
      <c r="F24" s="1">
        <v>3</v>
      </c>
      <c r="G24" s="1">
        <v>0</v>
      </c>
      <c r="H24" s="1">
        <v>0</v>
      </c>
      <c r="I24" s="1">
        <v>0</v>
      </c>
      <c r="J24" s="1">
        <v>0</v>
      </c>
      <c r="K24" t="s">
        <v>65</v>
      </c>
    </row>
    <row r="25" spans="1:11" x14ac:dyDescent="0.3">
      <c r="A25" s="1">
        <v>10023</v>
      </c>
      <c r="B25" s="1" t="str">
        <f t="shared" si="0"/>
        <v>Equipment_Icon_Shoes_Tier4</v>
      </c>
      <c r="C25" s="1" t="str" cm="1">
        <f t="array" ref="C25">_xlfn.IFS(F25&lt;=2, "Common", F25&lt;=4, "Uncommon", F25&lt;=6, "Rare", F25&lt;=8, "Epic", F25=9, "Legendary", F25&gt;=10, "Mythic")</f>
        <v>Uncommon</v>
      </c>
      <c r="D25" s="1" t="s">
        <v>56</v>
      </c>
      <c r="E25" s="1" t="s">
        <v>52</v>
      </c>
      <c r="F25" s="1">
        <v>4</v>
      </c>
      <c r="G25" s="1">
        <v>0</v>
      </c>
      <c r="H25" s="1">
        <v>0</v>
      </c>
      <c r="I25" s="1">
        <v>0</v>
      </c>
      <c r="J25" s="1">
        <v>0</v>
      </c>
      <c r="K25" t="s">
        <v>66</v>
      </c>
    </row>
    <row r="26" spans="1:11" x14ac:dyDescent="0.3">
      <c r="A26" s="1">
        <v>10024</v>
      </c>
      <c r="B26" s="1" t="str">
        <f t="shared" si="0"/>
        <v>Equipment_Icon_Shoes_Tier5</v>
      </c>
      <c r="C26" s="1" t="str" cm="1">
        <f t="array" ref="C26">_xlfn.IFS(F26&lt;=2, "Common", F26&lt;=4, "Uncommon", F26&lt;=6, "Rare", F26&lt;=8, "Epic", F26=9, "Legendary", F26&gt;=10, "Mythic")</f>
        <v>Rare</v>
      </c>
      <c r="D26" s="1" t="s">
        <v>57</v>
      </c>
      <c r="E26" s="1" t="s">
        <v>52</v>
      </c>
      <c r="F26" s="1">
        <v>5</v>
      </c>
      <c r="G26" s="1">
        <v>0</v>
      </c>
      <c r="H26" s="1">
        <v>0</v>
      </c>
      <c r="I26" s="1">
        <v>0</v>
      </c>
      <c r="J26" s="1">
        <v>0</v>
      </c>
      <c r="K26" t="s">
        <v>67</v>
      </c>
    </row>
    <row r="27" spans="1:11" x14ac:dyDescent="0.3">
      <c r="A27" s="1">
        <v>10025</v>
      </c>
      <c r="B27" s="1" t="str">
        <f t="shared" si="0"/>
        <v>Equipment_Icon_Shoes_Tier6</v>
      </c>
      <c r="C27" s="1" t="str" cm="1">
        <f t="array" ref="C27">_xlfn.IFS(F27&lt;=2, "Common", F27&lt;=4, "Uncommon", F27&lt;=6, "Rare", F27&lt;=8, "Epic", F27=9, "Legendary", F27&gt;=10, "Mythic")</f>
        <v>Rare</v>
      </c>
      <c r="D27" s="1" t="s">
        <v>58</v>
      </c>
      <c r="E27" s="1" t="s">
        <v>52</v>
      </c>
      <c r="F27" s="1">
        <v>6</v>
      </c>
      <c r="G27" s="1">
        <v>0</v>
      </c>
      <c r="H27" s="1">
        <v>0</v>
      </c>
      <c r="I27" s="1">
        <v>0</v>
      </c>
      <c r="J27" s="1">
        <v>0</v>
      </c>
      <c r="K27" t="s">
        <v>68</v>
      </c>
    </row>
    <row r="28" spans="1:11" x14ac:dyDescent="0.3">
      <c r="A28" s="1">
        <v>10026</v>
      </c>
      <c r="B28" s="1" t="str">
        <f t="shared" si="0"/>
        <v>Equipment_Icon_Shoes_Tier7</v>
      </c>
      <c r="C28" s="1" t="str" cm="1">
        <f t="array" ref="C28">_xlfn.IFS(F28&lt;=2, "Common", F28&lt;=4, "Uncommon", F28&lt;=6, "Rare", F28&lt;=8, "Epic", F28=9, "Legendary", F28&gt;=10, "Mythic")</f>
        <v>Epic</v>
      </c>
      <c r="D28" s="1" t="s">
        <v>59</v>
      </c>
      <c r="E28" s="1" t="s">
        <v>52</v>
      </c>
      <c r="F28" s="1">
        <v>7</v>
      </c>
      <c r="G28" s="1">
        <v>0</v>
      </c>
      <c r="H28" s="1">
        <v>0</v>
      </c>
      <c r="I28" s="1">
        <v>0</v>
      </c>
      <c r="J28" s="1">
        <v>0</v>
      </c>
      <c r="K28" t="s">
        <v>69</v>
      </c>
    </row>
    <row r="29" spans="1:11" x14ac:dyDescent="0.3">
      <c r="A29" s="1">
        <v>10027</v>
      </c>
      <c r="B29" s="1" t="str">
        <f t="shared" si="0"/>
        <v>Equipment_Icon_Shoes_Tier8</v>
      </c>
      <c r="C29" s="1" t="str" cm="1">
        <f t="array" ref="C29">_xlfn.IFS(F29&lt;=2, "Common", F29&lt;=4, "Uncommon", F29&lt;=6, "Rare", F29&lt;=8, "Epic", F29=9, "Legendary", F29&gt;=10, "Mythic")</f>
        <v>Epic</v>
      </c>
      <c r="D29" s="1" t="s">
        <v>60</v>
      </c>
      <c r="E29" s="1" t="s">
        <v>52</v>
      </c>
      <c r="F29" s="1">
        <v>8</v>
      </c>
      <c r="G29" s="1">
        <v>0</v>
      </c>
      <c r="H29" s="1">
        <v>0</v>
      </c>
      <c r="I29" s="1">
        <v>0</v>
      </c>
      <c r="J29" s="1">
        <v>0</v>
      </c>
      <c r="K29" t="s">
        <v>70</v>
      </c>
    </row>
    <row r="30" spans="1:11" x14ac:dyDescent="0.3">
      <c r="A30" s="1">
        <v>10028</v>
      </c>
      <c r="B30" s="1" t="str">
        <f t="shared" si="0"/>
        <v>Equipment_Icon_Shoes_Tier9</v>
      </c>
      <c r="C30" s="1" t="str" cm="1">
        <f t="array" ref="C30">_xlfn.IFS(F30&lt;=2, "Common", F30&lt;=4, "Uncommon", F30&lt;=6, "Rare", F30&lt;=8, "Epic", F30=9, "Legendary", F30&gt;=10, "Mythic")</f>
        <v>Legendary</v>
      </c>
      <c r="D30" s="1" t="s">
        <v>61</v>
      </c>
      <c r="E30" s="1" t="s">
        <v>52</v>
      </c>
      <c r="F30" s="1">
        <v>9</v>
      </c>
      <c r="G30" s="1">
        <v>0</v>
      </c>
      <c r="H30" s="1">
        <v>0</v>
      </c>
      <c r="I30" s="1">
        <v>0</v>
      </c>
      <c r="J30" s="1">
        <v>0</v>
      </c>
      <c r="K30" t="s">
        <v>71</v>
      </c>
    </row>
    <row r="31" spans="1:11" x14ac:dyDescent="0.3">
      <c r="A31" s="1">
        <v>10029</v>
      </c>
      <c r="B31" s="1" t="str">
        <f t="shared" si="0"/>
        <v>Equipment_Icon_Shoes_Tier10</v>
      </c>
      <c r="C31" s="1" t="str" cm="1">
        <f t="array" ref="C31">_xlfn.IFS(F31&lt;=2, "Common", F31&lt;=4, "Uncommon", F31&lt;=6, "Rare", F31&lt;=8, "Epic", F31=9, "Legendary", F31&gt;=10, "Mythic")</f>
        <v>Mythic</v>
      </c>
      <c r="D31" s="1" t="s">
        <v>62</v>
      </c>
      <c r="E31" s="1" t="s">
        <v>52</v>
      </c>
      <c r="F31" s="1">
        <v>10</v>
      </c>
      <c r="G31" s="1">
        <v>0</v>
      </c>
      <c r="H31" s="1">
        <v>0</v>
      </c>
      <c r="I31" s="1">
        <v>0</v>
      </c>
      <c r="J31" s="1">
        <v>0</v>
      </c>
      <c r="K31" t="s">
        <v>72</v>
      </c>
    </row>
    <row r="32" spans="1:11" x14ac:dyDescent="0.3">
      <c r="A32" s="1">
        <v>10030</v>
      </c>
      <c r="B32" s="1" t="str">
        <f t="shared" si="0"/>
        <v>Equipment_Icon_Badge_Tier1</v>
      </c>
      <c r="C32" s="1" t="str" cm="1">
        <f t="array" ref="C32">_xlfn.IFS(F32&lt;=2, "Common", F32&lt;=4, "Uncommon", F32&lt;=6, "Rare", F32&lt;=8, "Epic", F32=9, "Legendary", F32&gt;=10, "Mythic")</f>
        <v>Common</v>
      </c>
      <c r="D32" s="1" t="s">
        <v>74</v>
      </c>
      <c r="E32" s="1" t="s">
        <v>73</v>
      </c>
      <c r="F32" s="1">
        <v>1</v>
      </c>
      <c r="G32" s="1">
        <v>0</v>
      </c>
      <c r="H32" s="1">
        <v>0</v>
      </c>
      <c r="I32" s="1">
        <v>0</v>
      </c>
      <c r="J32" s="1">
        <v>0</v>
      </c>
      <c r="K32" t="s">
        <v>84</v>
      </c>
    </row>
    <row r="33" spans="1:11" x14ac:dyDescent="0.3">
      <c r="A33" s="1">
        <v>10031</v>
      </c>
      <c r="B33" s="1" t="str">
        <f t="shared" si="0"/>
        <v>Equipment_Icon_Badge_Tier2</v>
      </c>
      <c r="C33" s="1" t="str" cm="1">
        <f t="array" ref="C33">_xlfn.IFS(F33&lt;=2, "Common", F33&lt;=4, "Uncommon", F33&lt;=6, "Rare", F33&lt;=8, "Epic", F33=9, "Legendary", F33&gt;=10, "Mythic")</f>
        <v>Common</v>
      </c>
      <c r="D33" s="1" t="s">
        <v>75</v>
      </c>
      <c r="E33" s="1" t="s">
        <v>73</v>
      </c>
      <c r="F33" s="1">
        <v>2</v>
      </c>
      <c r="G33" s="1">
        <v>0</v>
      </c>
      <c r="H33" s="1">
        <v>0</v>
      </c>
      <c r="I33" s="1">
        <v>0</v>
      </c>
      <c r="J33" s="1">
        <v>0</v>
      </c>
      <c r="K33" t="s">
        <v>85</v>
      </c>
    </row>
    <row r="34" spans="1:11" x14ac:dyDescent="0.3">
      <c r="A34" s="1">
        <v>10032</v>
      </c>
      <c r="B34" s="1" t="str">
        <f t="shared" si="0"/>
        <v>Equipment_Icon_Badge_Tier3</v>
      </c>
      <c r="C34" s="1" t="str" cm="1">
        <f t="array" ref="C34">_xlfn.IFS(F34&lt;=2, "Common", F34&lt;=4, "Uncommon", F34&lt;=6, "Rare", F34&lt;=8, "Epic", F34=9, "Legendary", F34&gt;=10, "Mythic")</f>
        <v>Uncommon</v>
      </c>
      <c r="D34" s="1" t="s">
        <v>76</v>
      </c>
      <c r="E34" s="1" t="s">
        <v>73</v>
      </c>
      <c r="F34" s="1">
        <v>3</v>
      </c>
      <c r="G34" s="1">
        <v>0</v>
      </c>
      <c r="H34" s="1">
        <v>0</v>
      </c>
      <c r="I34" s="1">
        <v>0</v>
      </c>
      <c r="J34" s="1">
        <v>0</v>
      </c>
      <c r="K34" t="s">
        <v>86</v>
      </c>
    </row>
    <row r="35" spans="1:11" x14ac:dyDescent="0.3">
      <c r="A35" s="1">
        <v>10033</v>
      </c>
      <c r="B35" s="1" t="str">
        <f t="shared" si="0"/>
        <v>Equipment_Icon_Badge_Tier4</v>
      </c>
      <c r="C35" s="1" t="str" cm="1">
        <f t="array" ref="C35">_xlfn.IFS(F35&lt;=2, "Common", F35&lt;=4, "Uncommon", F35&lt;=6, "Rare", F35&lt;=8, "Epic", F35=9, "Legendary", F35&gt;=10, "Mythic")</f>
        <v>Uncommon</v>
      </c>
      <c r="D35" s="1" t="s">
        <v>77</v>
      </c>
      <c r="E35" s="1" t="s">
        <v>73</v>
      </c>
      <c r="F35" s="1">
        <v>4</v>
      </c>
      <c r="G35" s="1">
        <v>0</v>
      </c>
      <c r="H35" s="1">
        <v>0</v>
      </c>
      <c r="I35" s="1">
        <v>0</v>
      </c>
      <c r="J35" s="1">
        <v>0</v>
      </c>
      <c r="K35" t="s">
        <v>87</v>
      </c>
    </row>
    <row r="36" spans="1:11" x14ac:dyDescent="0.3">
      <c r="A36" s="1">
        <v>10034</v>
      </c>
      <c r="B36" s="1" t="str">
        <f t="shared" si="0"/>
        <v>Equipment_Icon_Badge_Tier5</v>
      </c>
      <c r="C36" s="1" t="str" cm="1">
        <f t="array" ref="C36">_xlfn.IFS(F36&lt;=2, "Common", F36&lt;=4, "Uncommon", F36&lt;=6, "Rare", F36&lt;=8, "Epic", F36=9, "Legendary", F36&gt;=10, "Mythic")</f>
        <v>Rare</v>
      </c>
      <c r="D36" s="1" t="s">
        <v>78</v>
      </c>
      <c r="E36" s="1" t="s">
        <v>73</v>
      </c>
      <c r="F36" s="1">
        <v>5</v>
      </c>
      <c r="G36" s="1">
        <v>0</v>
      </c>
      <c r="H36" s="1">
        <v>0</v>
      </c>
      <c r="I36" s="1">
        <v>0</v>
      </c>
      <c r="J36" s="1">
        <v>0</v>
      </c>
      <c r="K36" t="s">
        <v>88</v>
      </c>
    </row>
    <row r="37" spans="1:11" x14ac:dyDescent="0.3">
      <c r="A37" s="1">
        <v>10035</v>
      </c>
      <c r="B37" s="1" t="str">
        <f t="shared" si="0"/>
        <v>Equipment_Icon_Badge_Tier6</v>
      </c>
      <c r="C37" s="1" t="str" cm="1">
        <f t="array" ref="C37">_xlfn.IFS(F37&lt;=2, "Common", F37&lt;=4, "Uncommon", F37&lt;=6, "Rare", F37&lt;=8, "Epic", F37=9, "Legendary", F37&gt;=10, "Mythic")</f>
        <v>Rare</v>
      </c>
      <c r="D37" s="1" t="s">
        <v>79</v>
      </c>
      <c r="E37" s="1" t="s">
        <v>73</v>
      </c>
      <c r="F37" s="1">
        <v>6</v>
      </c>
      <c r="G37" s="1">
        <v>0</v>
      </c>
      <c r="H37" s="1">
        <v>0</v>
      </c>
      <c r="I37" s="1">
        <v>0</v>
      </c>
      <c r="J37" s="1">
        <v>0</v>
      </c>
      <c r="K37" t="s">
        <v>89</v>
      </c>
    </row>
    <row r="38" spans="1:11" x14ac:dyDescent="0.3">
      <c r="A38" s="1">
        <v>10036</v>
      </c>
      <c r="B38" s="1" t="str">
        <f t="shared" si="0"/>
        <v>Equipment_Icon_Badge_Tier7</v>
      </c>
      <c r="C38" s="1" t="str" cm="1">
        <f t="array" ref="C38">_xlfn.IFS(F38&lt;=2, "Common", F38&lt;=4, "Uncommon", F38&lt;=6, "Rare", F38&lt;=8, "Epic", F38=9, "Legendary", F38&gt;=10, "Mythic")</f>
        <v>Epic</v>
      </c>
      <c r="D38" s="1" t="s">
        <v>80</v>
      </c>
      <c r="E38" s="1" t="s">
        <v>73</v>
      </c>
      <c r="F38" s="1">
        <v>7</v>
      </c>
      <c r="G38" s="1">
        <v>0</v>
      </c>
      <c r="H38" s="1">
        <v>0</v>
      </c>
      <c r="I38" s="1">
        <v>0</v>
      </c>
      <c r="J38" s="1">
        <v>0</v>
      </c>
      <c r="K38" t="s">
        <v>90</v>
      </c>
    </row>
    <row r="39" spans="1:11" x14ac:dyDescent="0.3">
      <c r="A39" s="1">
        <v>10037</v>
      </c>
      <c r="B39" s="1" t="str">
        <f t="shared" si="0"/>
        <v>Equipment_Icon_Badge_Tier8</v>
      </c>
      <c r="C39" s="1" t="str" cm="1">
        <f t="array" ref="C39">_xlfn.IFS(F39&lt;=2, "Common", F39&lt;=4, "Uncommon", F39&lt;=6, "Rare", F39&lt;=8, "Epic", F39=9, "Legendary", F39&gt;=10, "Mythic")</f>
        <v>Epic</v>
      </c>
      <c r="D39" s="1" t="s">
        <v>81</v>
      </c>
      <c r="E39" s="1" t="s">
        <v>73</v>
      </c>
      <c r="F39" s="1">
        <v>8</v>
      </c>
      <c r="G39" s="1">
        <v>0</v>
      </c>
      <c r="H39" s="1">
        <v>0</v>
      </c>
      <c r="I39" s="1">
        <v>0</v>
      </c>
      <c r="J39" s="1">
        <v>0</v>
      </c>
      <c r="K39" t="s">
        <v>91</v>
      </c>
    </row>
    <row r="40" spans="1:11" x14ac:dyDescent="0.3">
      <c r="A40" s="1">
        <v>10038</v>
      </c>
      <c r="B40" s="1" t="str">
        <f t="shared" si="0"/>
        <v>Equipment_Icon_Badge_Tier9</v>
      </c>
      <c r="C40" s="1" t="str" cm="1">
        <f t="array" ref="C40">_xlfn.IFS(F40&lt;=2, "Common", F40&lt;=4, "Uncommon", F40&lt;=6, "Rare", F40&lt;=8, "Epic", F40=9, "Legendary", F40&gt;=10, "Mythic")</f>
        <v>Legendary</v>
      </c>
      <c r="D40" s="1" t="s">
        <v>82</v>
      </c>
      <c r="E40" s="1" t="s">
        <v>73</v>
      </c>
      <c r="F40" s="1">
        <v>9</v>
      </c>
      <c r="G40" s="1">
        <v>0</v>
      </c>
      <c r="H40" s="1">
        <v>0</v>
      </c>
      <c r="I40" s="1">
        <v>0</v>
      </c>
      <c r="J40" s="1">
        <v>0</v>
      </c>
      <c r="K40" t="s">
        <v>92</v>
      </c>
    </row>
    <row r="41" spans="1:11" x14ac:dyDescent="0.3">
      <c r="A41" s="1">
        <v>10039</v>
      </c>
      <c r="B41" s="1" t="str">
        <f t="shared" si="0"/>
        <v>Equipment_Icon_Badge_Tier10</v>
      </c>
      <c r="C41" s="1" t="str" cm="1">
        <f t="array" ref="C41">_xlfn.IFS(F41&lt;=2, "Common", F41&lt;=4, "Uncommon", F41&lt;=6, "Rare", F41&lt;=8, "Epic", F41=9, "Legendary", F41&gt;=10, "Mythic")</f>
        <v>Mythic</v>
      </c>
      <c r="D41" s="1" t="s">
        <v>83</v>
      </c>
      <c r="E41" s="1" t="s">
        <v>73</v>
      </c>
      <c r="F41" s="1">
        <v>10</v>
      </c>
      <c r="G41" s="1">
        <v>0</v>
      </c>
      <c r="H41" s="1">
        <v>0</v>
      </c>
      <c r="I41" s="1">
        <v>0</v>
      </c>
      <c r="J41" s="1">
        <v>0</v>
      </c>
      <c r="K41" t="s">
        <v>93</v>
      </c>
    </row>
    <row r="42" spans="1:11" x14ac:dyDescent="0.3">
      <c r="A42" s="1">
        <v>10040</v>
      </c>
      <c r="B42" s="1" t="str">
        <f t="shared" si="0"/>
        <v>Equipment_Icon_Bag_Tier1</v>
      </c>
      <c r="C42" s="1" t="str" cm="1">
        <f t="array" ref="C42">_xlfn.IFS(F42&lt;=2, "Common", F42&lt;=4, "Uncommon", F42&lt;=6, "Rare", F42&lt;=8, "Epic", F42=9, "Legendary", F42&gt;=10, "Mythic")</f>
        <v>Common</v>
      </c>
      <c r="D42" s="1" t="s">
        <v>95</v>
      </c>
      <c r="E42" s="1" t="s">
        <v>94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t="s">
        <v>105</v>
      </c>
    </row>
    <row r="43" spans="1:11" x14ac:dyDescent="0.3">
      <c r="A43" s="1">
        <v>10041</v>
      </c>
      <c r="B43" s="1" t="str">
        <f t="shared" si="0"/>
        <v>Equipment_Icon_Bag_Tier2</v>
      </c>
      <c r="C43" s="1" t="str" cm="1">
        <f t="array" ref="C43">_xlfn.IFS(F43&lt;=2, "Common", F43&lt;=4, "Uncommon", F43&lt;=6, "Rare", F43&lt;=8, "Epic", F43=9, "Legendary", F43&gt;=10, "Mythic")</f>
        <v>Common</v>
      </c>
      <c r="D43" s="1" t="s">
        <v>96</v>
      </c>
      <c r="E43" s="1" t="s">
        <v>94</v>
      </c>
      <c r="F43" s="1">
        <v>2</v>
      </c>
      <c r="G43" s="1">
        <v>0</v>
      </c>
      <c r="H43" s="1">
        <v>0</v>
      </c>
      <c r="I43" s="1">
        <v>0</v>
      </c>
      <c r="J43" s="1">
        <v>0</v>
      </c>
      <c r="K43" t="s">
        <v>106</v>
      </c>
    </row>
    <row r="44" spans="1:11" x14ac:dyDescent="0.3">
      <c r="A44" s="1">
        <v>10042</v>
      </c>
      <c r="B44" s="1" t="str">
        <f t="shared" si="0"/>
        <v>Equipment_Icon_Bag_Tier3</v>
      </c>
      <c r="C44" s="1" t="str" cm="1">
        <f t="array" ref="C44">_xlfn.IFS(F44&lt;=2, "Common", F44&lt;=4, "Uncommon", F44&lt;=6, "Rare", F44&lt;=8, "Epic", F44=9, "Legendary", F44&gt;=10, "Mythic")</f>
        <v>Uncommon</v>
      </c>
      <c r="D44" s="1" t="s">
        <v>97</v>
      </c>
      <c r="E44" s="1" t="s">
        <v>94</v>
      </c>
      <c r="F44" s="1">
        <v>3</v>
      </c>
      <c r="G44" s="1">
        <v>0</v>
      </c>
      <c r="H44" s="1">
        <v>0</v>
      </c>
      <c r="I44" s="1">
        <v>0</v>
      </c>
      <c r="J44" s="1">
        <v>0</v>
      </c>
      <c r="K44" t="s">
        <v>107</v>
      </c>
    </row>
    <row r="45" spans="1:11" x14ac:dyDescent="0.3">
      <c r="A45" s="1">
        <v>10043</v>
      </c>
      <c r="B45" s="1" t="str">
        <f t="shared" si="0"/>
        <v>Equipment_Icon_Bag_Tier4</v>
      </c>
      <c r="C45" s="1" t="str" cm="1">
        <f t="array" ref="C45">_xlfn.IFS(F45&lt;=2, "Common", F45&lt;=4, "Uncommon", F45&lt;=6, "Rare", F45&lt;=8, "Epic", F45=9, "Legendary", F45&gt;=10, "Mythic")</f>
        <v>Uncommon</v>
      </c>
      <c r="D45" s="1" t="s">
        <v>98</v>
      </c>
      <c r="E45" s="1" t="s">
        <v>94</v>
      </c>
      <c r="F45" s="1">
        <v>4</v>
      </c>
      <c r="G45" s="1">
        <v>0</v>
      </c>
      <c r="H45" s="1">
        <v>0</v>
      </c>
      <c r="I45" s="1">
        <v>0</v>
      </c>
      <c r="J45" s="1">
        <v>0</v>
      </c>
      <c r="K45" t="s">
        <v>108</v>
      </c>
    </row>
    <row r="46" spans="1:11" x14ac:dyDescent="0.3">
      <c r="A46" s="1">
        <v>10044</v>
      </c>
      <c r="B46" s="1" t="str">
        <f t="shared" si="0"/>
        <v>Equipment_Icon_Bag_Tier5</v>
      </c>
      <c r="C46" s="1" t="str" cm="1">
        <f t="array" ref="C46">_xlfn.IFS(F46&lt;=2, "Common", F46&lt;=4, "Uncommon", F46&lt;=6, "Rare", F46&lt;=8, "Epic", F46=9, "Legendary", F46&gt;=10, "Mythic")</f>
        <v>Rare</v>
      </c>
      <c r="D46" s="1" t="s">
        <v>99</v>
      </c>
      <c r="E46" s="1" t="s">
        <v>94</v>
      </c>
      <c r="F46" s="1">
        <v>5</v>
      </c>
      <c r="G46" s="1">
        <v>0</v>
      </c>
      <c r="H46" s="1">
        <v>0</v>
      </c>
      <c r="I46" s="1">
        <v>0</v>
      </c>
      <c r="J46" s="1">
        <v>0</v>
      </c>
      <c r="K46" t="s">
        <v>109</v>
      </c>
    </row>
    <row r="47" spans="1:11" x14ac:dyDescent="0.3">
      <c r="A47" s="1">
        <v>10045</v>
      </c>
      <c r="B47" s="1" t="str">
        <f t="shared" si="0"/>
        <v>Equipment_Icon_Bag_Tier6</v>
      </c>
      <c r="C47" s="1" t="str" cm="1">
        <f t="array" ref="C47">_xlfn.IFS(F47&lt;=2, "Common", F47&lt;=4, "Uncommon", F47&lt;=6, "Rare", F47&lt;=8, "Epic", F47=9, "Legendary", F47&gt;=10, "Mythic")</f>
        <v>Rare</v>
      </c>
      <c r="D47" s="1" t="s">
        <v>100</v>
      </c>
      <c r="E47" s="1" t="s">
        <v>94</v>
      </c>
      <c r="F47" s="1">
        <v>6</v>
      </c>
      <c r="G47" s="1">
        <v>0</v>
      </c>
      <c r="H47" s="1">
        <v>0</v>
      </c>
      <c r="I47" s="1">
        <v>0</v>
      </c>
      <c r="J47" s="1">
        <v>0</v>
      </c>
      <c r="K47" t="s">
        <v>110</v>
      </c>
    </row>
    <row r="48" spans="1:11" x14ac:dyDescent="0.3">
      <c r="A48" s="1">
        <v>10046</v>
      </c>
      <c r="B48" s="1" t="str">
        <f t="shared" si="0"/>
        <v>Equipment_Icon_Bag_Tier7</v>
      </c>
      <c r="C48" s="1" t="str" cm="1">
        <f t="array" ref="C48">_xlfn.IFS(F48&lt;=2, "Common", F48&lt;=4, "Uncommon", F48&lt;=6, "Rare", F48&lt;=8, "Epic", F48=9, "Legendary", F48&gt;=10, "Mythic")</f>
        <v>Epic</v>
      </c>
      <c r="D48" s="1" t="s">
        <v>101</v>
      </c>
      <c r="E48" s="1" t="s">
        <v>94</v>
      </c>
      <c r="F48" s="1">
        <v>7</v>
      </c>
      <c r="G48" s="1">
        <v>0</v>
      </c>
      <c r="H48" s="1">
        <v>0</v>
      </c>
      <c r="I48" s="1">
        <v>0</v>
      </c>
      <c r="J48" s="1">
        <v>0</v>
      </c>
      <c r="K48" t="s">
        <v>111</v>
      </c>
    </row>
    <row r="49" spans="1:11" x14ac:dyDescent="0.3">
      <c r="A49" s="1">
        <v>10047</v>
      </c>
      <c r="B49" s="1" t="str">
        <f t="shared" si="0"/>
        <v>Equipment_Icon_Bag_Tier8</v>
      </c>
      <c r="C49" s="1" t="str" cm="1">
        <f t="array" ref="C49">_xlfn.IFS(F49&lt;=2, "Common", F49&lt;=4, "Uncommon", F49&lt;=6, "Rare", F49&lt;=8, "Epic", F49=9, "Legendary", F49&gt;=10, "Mythic")</f>
        <v>Epic</v>
      </c>
      <c r="D49" s="1" t="s">
        <v>102</v>
      </c>
      <c r="E49" s="1" t="s">
        <v>94</v>
      </c>
      <c r="F49" s="1">
        <v>8</v>
      </c>
      <c r="G49" s="1">
        <v>0</v>
      </c>
      <c r="H49" s="1">
        <v>0</v>
      </c>
      <c r="I49" s="1">
        <v>0</v>
      </c>
      <c r="J49" s="1">
        <v>0</v>
      </c>
      <c r="K49" t="s">
        <v>112</v>
      </c>
    </row>
    <row r="50" spans="1:11" x14ac:dyDescent="0.3">
      <c r="A50" s="1">
        <v>10048</v>
      </c>
      <c r="B50" s="1" t="str">
        <f t="shared" si="0"/>
        <v>Equipment_Icon_Bag_Tier9</v>
      </c>
      <c r="C50" s="1" t="str" cm="1">
        <f t="array" ref="C50">_xlfn.IFS(F50&lt;=2, "Common", F50&lt;=4, "Uncommon", F50&lt;=6, "Rare", F50&lt;=8, "Epic", F50=9, "Legendary", F50&gt;=10, "Mythic")</f>
        <v>Legendary</v>
      </c>
      <c r="D50" s="1" t="s">
        <v>103</v>
      </c>
      <c r="E50" s="1" t="s">
        <v>94</v>
      </c>
      <c r="F50" s="1">
        <v>9</v>
      </c>
      <c r="G50" s="1">
        <v>0</v>
      </c>
      <c r="H50" s="1">
        <v>0</v>
      </c>
      <c r="I50" s="1">
        <v>0</v>
      </c>
      <c r="J50" s="1">
        <v>0</v>
      </c>
      <c r="K50" t="s">
        <v>113</v>
      </c>
    </row>
    <row r="51" spans="1:11" x14ac:dyDescent="0.3">
      <c r="A51" s="1">
        <v>10049</v>
      </c>
      <c r="B51" s="1" t="str">
        <f t="shared" si="0"/>
        <v>Equipment_Icon_Bag_Tier10</v>
      </c>
      <c r="C51" s="1" t="str" cm="1">
        <f t="array" ref="C51">_xlfn.IFS(F51&lt;=2, "Common", F51&lt;=4, "Uncommon", F51&lt;=6, "Rare", F51&lt;=8, "Epic", F51=9, "Legendary", F51&gt;=10, "Mythic")</f>
        <v>Mythic</v>
      </c>
      <c r="D51" s="1" t="s">
        <v>104</v>
      </c>
      <c r="E51" s="1" t="s">
        <v>94</v>
      </c>
      <c r="F51" s="1">
        <v>10</v>
      </c>
      <c r="G51" s="1">
        <v>0</v>
      </c>
      <c r="H51" s="1">
        <v>0</v>
      </c>
      <c r="I51" s="1">
        <v>0</v>
      </c>
      <c r="J51" s="1">
        <v>0</v>
      </c>
      <c r="K51" t="s">
        <v>114</v>
      </c>
    </row>
    <row r="52" spans="1:11" x14ac:dyDescent="0.3">
      <c r="A52" s="1">
        <v>10050</v>
      </c>
      <c r="B52" s="1" t="str">
        <f t="shared" si="0"/>
        <v>Equipment_Icon_Hairpin_Tier1</v>
      </c>
      <c r="C52" s="1" t="str" cm="1">
        <f t="array" ref="C52">_xlfn.IFS(F52&lt;=2, "Common", F52&lt;=4, "Uncommon", F52&lt;=6, "Rare", F52&lt;=8, "Epic", F52=9, "Legendary", F52&gt;=10, "Mythic")</f>
        <v>Common</v>
      </c>
      <c r="D52" s="1" t="s">
        <v>116</v>
      </c>
      <c r="E52" s="1" t="s">
        <v>115</v>
      </c>
      <c r="F52" s="1">
        <v>1</v>
      </c>
      <c r="G52" s="1">
        <v>0</v>
      </c>
      <c r="H52" s="1">
        <v>0</v>
      </c>
      <c r="I52" s="1">
        <v>0</v>
      </c>
      <c r="J52" s="1">
        <v>0</v>
      </c>
      <c r="K52" t="s">
        <v>126</v>
      </c>
    </row>
    <row r="53" spans="1:11" x14ac:dyDescent="0.3">
      <c r="A53" s="1">
        <v>10051</v>
      </c>
      <c r="B53" s="1" t="str">
        <f t="shared" si="0"/>
        <v>Equipment_Icon_Hairpin_Tier2</v>
      </c>
      <c r="C53" s="1" t="str" cm="1">
        <f t="array" ref="C53">_xlfn.IFS(F53&lt;=2, "Common", F53&lt;=4, "Uncommon", F53&lt;=6, "Rare", F53&lt;=8, "Epic", F53=9, "Legendary", F53&gt;=10, "Mythic")</f>
        <v>Common</v>
      </c>
      <c r="D53" s="1" t="s">
        <v>117</v>
      </c>
      <c r="E53" s="1" t="s">
        <v>115</v>
      </c>
      <c r="F53" s="1">
        <v>2</v>
      </c>
      <c r="G53" s="1">
        <v>0</v>
      </c>
      <c r="H53" s="1">
        <v>0</v>
      </c>
      <c r="I53" s="1">
        <v>0</v>
      </c>
      <c r="J53" s="1">
        <v>0</v>
      </c>
      <c r="K53" t="s">
        <v>127</v>
      </c>
    </row>
    <row r="54" spans="1:11" x14ac:dyDescent="0.3">
      <c r="A54" s="1">
        <v>10052</v>
      </c>
      <c r="B54" s="1" t="str">
        <f t="shared" si="0"/>
        <v>Equipment_Icon_Hairpin_Tier3</v>
      </c>
      <c r="C54" s="1" t="str" cm="1">
        <f t="array" ref="C54">_xlfn.IFS(F54&lt;=2, "Common", F54&lt;=4, "Uncommon", F54&lt;=6, "Rare", F54&lt;=8, "Epic", F54=9, "Legendary", F54&gt;=10, "Mythic")</f>
        <v>Uncommon</v>
      </c>
      <c r="D54" s="1" t="s">
        <v>118</v>
      </c>
      <c r="E54" s="1" t="s">
        <v>115</v>
      </c>
      <c r="F54" s="1">
        <v>3</v>
      </c>
      <c r="G54" s="1">
        <v>0</v>
      </c>
      <c r="H54" s="1">
        <v>0</v>
      </c>
      <c r="I54" s="1">
        <v>0</v>
      </c>
      <c r="J54" s="1">
        <v>0</v>
      </c>
      <c r="K54" t="s">
        <v>128</v>
      </c>
    </row>
    <row r="55" spans="1:11" x14ac:dyDescent="0.3">
      <c r="A55" s="1">
        <v>10053</v>
      </c>
      <c r="B55" s="1" t="str">
        <f t="shared" si="0"/>
        <v>Equipment_Icon_Hairpin_Tier4</v>
      </c>
      <c r="C55" s="1" t="str" cm="1">
        <f t="array" ref="C55">_xlfn.IFS(F55&lt;=2, "Common", F55&lt;=4, "Uncommon", F55&lt;=6, "Rare", F55&lt;=8, "Epic", F55=9, "Legendary", F55&gt;=10, "Mythic")</f>
        <v>Uncommon</v>
      </c>
      <c r="D55" s="1" t="s">
        <v>119</v>
      </c>
      <c r="E55" s="1" t="s">
        <v>115</v>
      </c>
      <c r="F55" s="1">
        <v>4</v>
      </c>
      <c r="G55" s="1">
        <v>0</v>
      </c>
      <c r="H55" s="1">
        <v>0</v>
      </c>
      <c r="I55" s="1">
        <v>0</v>
      </c>
      <c r="J55" s="1">
        <v>0</v>
      </c>
      <c r="K55" t="s">
        <v>129</v>
      </c>
    </row>
    <row r="56" spans="1:11" x14ac:dyDescent="0.3">
      <c r="A56" s="1">
        <v>10054</v>
      </c>
      <c r="B56" s="1" t="str">
        <f t="shared" si="0"/>
        <v>Equipment_Icon_Hairpin_Tier5</v>
      </c>
      <c r="C56" s="1" t="str" cm="1">
        <f t="array" ref="C56">_xlfn.IFS(F56&lt;=2, "Common", F56&lt;=4, "Uncommon", F56&lt;=6, "Rare", F56&lt;=8, "Epic", F56=9, "Legendary", F56&gt;=10, "Mythic")</f>
        <v>Rare</v>
      </c>
      <c r="D56" s="1" t="s">
        <v>120</v>
      </c>
      <c r="E56" s="1" t="s">
        <v>115</v>
      </c>
      <c r="F56" s="1">
        <v>5</v>
      </c>
      <c r="G56" s="1">
        <v>0</v>
      </c>
      <c r="H56" s="1">
        <v>0</v>
      </c>
      <c r="I56" s="1">
        <v>0</v>
      </c>
      <c r="J56" s="1">
        <v>0</v>
      </c>
      <c r="K56" t="s">
        <v>130</v>
      </c>
    </row>
    <row r="57" spans="1:11" x14ac:dyDescent="0.3">
      <c r="A57" s="1">
        <v>10055</v>
      </c>
      <c r="B57" s="1" t="str">
        <f t="shared" si="0"/>
        <v>Equipment_Icon_Hairpin_Tier6</v>
      </c>
      <c r="C57" s="1" t="str" cm="1">
        <f t="array" ref="C57">_xlfn.IFS(F57&lt;=2, "Common", F57&lt;=4, "Uncommon", F57&lt;=6, "Rare", F57&lt;=8, "Epic", F57=9, "Legendary", F57&gt;=10, "Mythic")</f>
        <v>Rare</v>
      </c>
      <c r="D57" s="1" t="s">
        <v>121</v>
      </c>
      <c r="E57" s="1" t="s">
        <v>115</v>
      </c>
      <c r="F57" s="1">
        <v>6</v>
      </c>
      <c r="G57" s="1">
        <v>0</v>
      </c>
      <c r="H57" s="1">
        <v>0</v>
      </c>
      <c r="I57" s="1">
        <v>0</v>
      </c>
      <c r="J57" s="1">
        <v>0</v>
      </c>
      <c r="K57" t="s">
        <v>131</v>
      </c>
    </row>
    <row r="58" spans="1:11" x14ac:dyDescent="0.3">
      <c r="A58" s="1">
        <v>10056</v>
      </c>
      <c r="B58" s="1" t="str">
        <f t="shared" si="0"/>
        <v>Equipment_Icon_Hairpin_Tier7</v>
      </c>
      <c r="C58" s="1" t="str" cm="1">
        <f t="array" ref="C58">_xlfn.IFS(F58&lt;=2, "Common", F58&lt;=4, "Uncommon", F58&lt;=6, "Rare", F58&lt;=8, "Epic", F58=9, "Legendary", F58&gt;=10, "Mythic")</f>
        <v>Epic</v>
      </c>
      <c r="D58" s="1" t="s">
        <v>122</v>
      </c>
      <c r="E58" s="1" t="s">
        <v>115</v>
      </c>
      <c r="F58" s="1">
        <v>7</v>
      </c>
      <c r="G58" s="1">
        <v>0</v>
      </c>
      <c r="H58" s="1">
        <v>0</v>
      </c>
      <c r="I58" s="1">
        <v>0</v>
      </c>
      <c r="J58" s="1">
        <v>0</v>
      </c>
      <c r="K58" t="s">
        <v>132</v>
      </c>
    </row>
    <row r="59" spans="1:11" x14ac:dyDescent="0.3">
      <c r="A59" s="1">
        <v>10057</v>
      </c>
      <c r="B59" s="1" t="str">
        <f t="shared" si="0"/>
        <v>Equipment_Icon_Hairpin_Tier8</v>
      </c>
      <c r="C59" s="1" t="str" cm="1">
        <f t="array" ref="C59">_xlfn.IFS(F59&lt;=2, "Common", F59&lt;=4, "Uncommon", F59&lt;=6, "Rare", F59&lt;=8, "Epic", F59=9, "Legendary", F59&gt;=10, "Mythic")</f>
        <v>Epic</v>
      </c>
      <c r="D59" s="1" t="s">
        <v>123</v>
      </c>
      <c r="E59" s="1" t="s">
        <v>115</v>
      </c>
      <c r="F59" s="1">
        <v>8</v>
      </c>
      <c r="G59" s="1">
        <v>0</v>
      </c>
      <c r="H59" s="1">
        <v>0</v>
      </c>
      <c r="I59" s="1">
        <v>0</v>
      </c>
      <c r="J59" s="1">
        <v>0</v>
      </c>
      <c r="K59" t="s">
        <v>133</v>
      </c>
    </row>
    <row r="60" spans="1:11" x14ac:dyDescent="0.3">
      <c r="A60" s="1">
        <v>10058</v>
      </c>
      <c r="B60" s="1" t="str">
        <f t="shared" si="0"/>
        <v>Equipment_Icon_Hairpin_Tier9</v>
      </c>
      <c r="C60" s="1" t="str" cm="1">
        <f t="array" ref="C60">_xlfn.IFS(F60&lt;=2, "Common", F60&lt;=4, "Uncommon", F60&lt;=6, "Rare", F60&lt;=8, "Epic", F60=9, "Legendary", F60&gt;=10, "Mythic")</f>
        <v>Legendary</v>
      </c>
      <c r="D60" s="1" t="s">
        <v>124</v>
      </c>
      <c r="E60" s="1" t="s">
        <v>115</v>
      </c>
      <c r="F60" s="1">
        <v>9</v>
      </c>
      <c r="G60" s="1">
        <v>0</v>
      </c>
      <c r="H60" s="1">
        <v>0</v>
      </c>
      <c r="I60" s="1">
        <v>0</v>
      </c>
      <c r="J60" s="1">
        <v>0</v>
      </c>
      <c r="K60" t="s">
        <v>134</v>
      </c>
    </row>
    <row r="61" spans="1:11" x14ac:dyDescent="0.3">
      <c r="A61" s="1">
        <v>10059</v>
      </c>
      <c r="B61" s="1" t="str">
        <f t="shared" si="0"/>
        <v>Equipment_Icon_Hairpin_Tier10</v>
      </c>
      <c r="C61" s="1" t="str" cm="1">
        <f t="array" ref="C61">_xlfn.IFS(F61&lt;=2, "Common", F61&lt;=4, "Uncommon", F61&lt;=6, "Rare", F61&lt;=8, "Epic", F61=9, "Legendary", F61&gt;=10, "Mythic")</f>
        <v>Mythic</v>
      </c>
      <c r="D61" s="1" t="s">
        <v>125</v>
      </c>
      <c r="E61" s="1" t="s">
        <v>115</v>
      </c>
      <c r="F61" s="1">
        <v>10</v>
      </c>
      <c r="G61" s="1">
        <v>0</v>
      </c>
      <c r="H61" s="1">
        <v>0</v>
      </c>
      <c r="I61" s="1">
        <v>0</v>
      </c>
      <c r="J61" s="1">
        <v>0</v>
      </c>
      <c r="K61" t="s">
        <v>135</v>
      </c>
    </row>
    <row r="62" spans="1:11" x14ac:dyDescent="0.3">
      <c r="A62" s="1">
        <v>10060</v>
      </c>
      <c r="B62" s="1" t="str">
        <f t="shared" si="0"/>
        <v>Equipment_Icon_Necklace_Tier1</v>
      </c>
      <c r="C62" s="1" t="str" cm="1">
        <f t="array" ref="C62">_xlfn.IFS(F62&lt;=2, "Common", F62&lt;=4, "Uncommon", F62&lt;=6, "Rare", F62&lt;=8, "Epic", F62=9, "Legendary", F62&gt;=10, "Mythic")</f>
        <v>Common</v>
      </c>
      <c r="D62" s="1" t="s">
        <v>137</v>
      </c>
      <c r="E62" s="1" t="s">
        <v>136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t="s">
        <v>147</v>
      </c>
    </row>
    <row r="63" spans="1:11" x14ac:dyDescent="0.3">
      <c r="A63" s="1">
        <v>10061</v>
      </c>
      <c r="B63" s="1" t="str">
        <f t="shared" si="0"/>
        <v>Equipment_Icon_Necklace_Tier2</v>
      </c>
      <c r="C63" s="1" t="str" cm="1">
        <f t="array" ref="C63">_xlfn.IFS(F63&lt;=2, "Common", F63&lt;=4, "Uncommon", F63&lt;=6, "Rare", F63&lt;=8, "Epic", F63=9, "Legendary", F63&gt;=10, "Mythic")</f>
        <v>Common</v>
      </c>
      <c r="D63" s="1" t="s">
        <v>138</v>
      </c>
      <c r="E63" s="1" t="s">
        <v>136</v>
      </c>
      <c r="F63" s="1">
        <v>2</v>
      </c>
      <c r="G63" s="1">
        <v>0</v>
      </c>
      <c r="H63" s="1">
        <v>0</v>
      </c>
      <c r="I63" s="1">
        <v>0</v>
      </c>
      <c r="J63" s="1">
        <v>0</v>
      </c>
      <c r="K63" t="s">
        <v>148</v>
      </c>
    </row>
    <row r="64" spans="1:11" x14ac:dyDescent="0.3">
      <c r="A64" s="1">
        <v>10062</v>
      </c>
      <c r="B64" s="1" t="str">
        <f t="shared" si="0"/>
        <v>Equipment_Icon_Necklace_Tier3</v>
      </c>
      <c r="C64" s="1" t="str" cm="1">
        <f t="array" ref="C64">_xlfn.IFS(F64&lt;=2, "Common", F64&lt;=4, "Uncommon", F64&lt;=6, "Rare", F64&lt;=8, "Epic", F64=9, "Legendary", F64&gt;=10, "Mythic")</f>
        <v>Uncommon</v>
      </c>
      <c r="D64" s="1" t="s">
        <v>139</v>
      </c>
      <c r="E64" s="1" t="s">
        <v>136</v>
      </c>
      <c r="F64" s="1">
        <v>3</v>
      </c>
      <c r="G64" s="1">
        <v>0</v>
      </c>
      <c r="H64" s="1">
        <v>0</v>
      </c>
      <c r="I64" s="1">
        <v>0</v>
      </c>
      <c r="J64" s="1">
        <v>0</v>
      </c>
      <c r="K64" t="s">
        <v>149</v>
      </c>
    </row>
    <row r="65" spans="1:11" x14ac:dyDescent="0.3">
      <c r="A65" s="1">
        <v>10063</v>
      </c>
      <c r="B65" s="1" t="str">
        <f t="shared" si="0"/>
        <v>Equipment_Icon_Necklace_Tier4</v>
      </c>
      <c r="C65" s="1" t="str" cm="1">
        <f t="array" ref="C65">_xlfn.IFS(F65&lt;=2, "Common", F65&lt;=4, "Uncommon", F65&lt;=6, "Rare", F65&lt;=8, "Epic", F65=9, "Legendary", F65&gt;=10, "Mythic")</f>
        <v>Uncommon</v>
      </c>
      <c r="D65" s="1" t="s">
        <v>140</v>
      </c>
      <c r="E65" s="1" t="s">
        <v>136</v>
      </c>
      <c r="F65" s="1">
        <v>4</v>
      </c>
      <c r="G65" s="1">
        <v>0</v>
      </c>
      <c r="H65" s="1">
        <v>0</v>
      </c>
      <c r="I65" s="1">
        <v>0</v>
      </c>
      <c r="J65" s="1">
        <v>0</v>
      </c>
      <c r="K65" t="s">
        <v>150</v>
      </c>
    </row>
    <row r="66" spans="1:11" x14ac:dyDescent="0.3">
      <c r="A66" s="1">
        <v>10064</v>
      </c>
      <c r="B66" s="1" t="str">
        <f t="shared" si="0"/>
        <v>Equipment_Icon_Necklace_Tier5</v>
      </c>
      <c r="C66" s="1" t="str" cm="1">
        <f t="array" ref="C66">_xlfn.IFS(F66&lt;=2, "Common", F66&lt;=4, "Uncommon", F66&lt;=6, "Rare", F66&lt;=8, "Epic", F66=9, "Legendary", F66&gt;=10, "Mythic")</f>
        <v>Rare</v>
      </c>
      <c r="D66" s="1" t="s">
        <v>141</v>
      </c>
      <c r="E66" s="1" t="s">
        <v>136</v>
      </c>
      <c r="F66" s="1">
        <v>5</v>
      </c>
      <c r="G66" s="1">
        <v>0</v>
      </c>
      <c r="H66" s="1">
        <v>0</v>
      </c>
      <c r="I66" s="1">
        <v>0</v>
      </c>
      <c r="J66" s="1">
        <v>0</v>
      </c>
      <c r="K66" t="s">
        <v>151</v>
      </c>
    </row>
    <row r="67" spans="1:11" x14ac:dyDescent="0.3">
      <c r="A67" s="1">
        <v>10065</v>
      </c>
      <c r="B67" s="1" t="str">
        <f t="shared" ref="B67:B91" si="1">"Equipment_Icon_" &amp; E67 &amp; "_" &amp; "Tier" &amp; F67</f>
        <v>Equipment_Icon_Necklace_Tier6</v>
      </c>
      <c r="C67" s="1" t="str" cm="1">
        <f t="array" ref="C67">_xlfn.IFS(F67&lt;=2, "Common", F67&lt;=4, "Uncommon", F67&lt;=6, "Rare", F67&lt;=8, "Epic", F67=9, "Legendary", F67&gt;=10, "Mythic")</f>
        <v>Rare</v>
      </c>
      <c r="D67" s="1" t="s">
        <v>142</v>
      </c>
      <c r="E67" s="1" t="s">
        <v>136</v>
      </c>
      <c r="F67" s="1">
        <v>6</v>
      </c>
      <c r="G67" s="1">
        <v>0</v>
      </c>
      <c r="H67" s="1">
        <v>0</v>
      </c>
      <c r="I67" s="1">
        <v>0</v>
      </c>
      <c r="J67" s="1">
        <v>0</v>
      </c>
      <c r="K67" t="s">
        <v>152</v>
      </c>
    </row>
    <row r="68" spans="1:11" x14ac:dyDescent="0.3">
      <c r="A68" s="1">
        <v>10066</v>
      </c>
      <c r="B68" s="1" t="str">
        <f t="shared" si="1"/>
        <v>Equipment_Icon_Necklace_Tier7</v>
      </c>
      <c r="C68" s="1" t="str" cm="1">
        <f t="array" ref="C68">_xlfn.IFS(F68&lt;=2, "Common", F68&lt;=4, "Uncommon", F68&lt;=6, "Rare", F68&lt;=8, "Epic", F68=9, "Legendary", F68&gt;=10, "Mythic")</f>
        <v>Epic</v>
      </c>
      <c r="D68" s="1" t="s">
        <v>143</v>
      </c>
      <c r="E68" s="1" t="s">
        <v>136</v>
      </c>
      <c r="F68" s="1">
        <v>7</v>
      </c>
      <c r="G68" s="1">
        <v>0</v>
      </c>
      <c r="H68" s="1">
        <v>0</v>
      </c>
      <c r="I68" s="1">
        <v>0</v>
      </c>
      <c r="J68" s="1">
        <v>0</v>
      </c>
      <c r="K68" t="s">
        <v>153</v>
      </c>
    </row>
    <row r="69" spans="1:11" x14ac:dyDescent="0.3">
      <c r="A69" s="1">
        <v>10067</v>
      </c>
      <c r="B69" s="1" t="str">
        <f t="shared" si="1"/>
        <v>Equipment_Icon_Necklace_Tier8</v>
      </c>
      <c r="C69" s="1" t="str" cm="1">
        <f t="array" ref="C69">_xlfn.IFS(F69&lt;=2, "Common", F69&lt;=4, "Uncommon", F69&lt;=6, "Rare", F69&lt;=8, "Epic", F69=9, "Legendary", F69&gt;=10, "Mythic")</f>
        <v>Epic</v>
      </c>
      <c r="D69" s="1" t="s">
        <v>144</v>
      </c>
      <c r="E69" s="1" t="s">
        <v>136</v>
      </c>
      <c r="F69" s="1">
        <v>8</v>
      </c>
      <c r="G69" s="1">
        <v>0</v>
      </c>
      <c r="H69" s="1">
        <v>0</v>
      </c>
      <c r="I69" s="1">
        <v>0</v>
      </c>
      <c r="J69" s="1">
        <v>0</v>
      </c>
      <c r="K69" t="s">
        <v>154</v>
      </c>
    </row>
    <row r="70" spans="1:11" x14ac:dyDescent="0.3">
      <c r="A70" s="1">
        <v>10068</v>
      </c>
      <c r="B70" s="1" t="str">
        <f t="shared" si="1"/>
        <v>Equipment_Icon_Necklace_Tier9</v>
      </c>
      <c r="C70" s="1" t="str" cm="1">
        <f t="array" ref="C70">_xlfn.IFS(F70&lt;=2, "Common", F70&lt;=4, "Uncommon", F70&lt;=6, "Rare", F70&lt;=8, "Epic", F70=9, "Legendary", F70&gt;=10, "Mythic")</f>
        <v>Legendary</v>
      </c>
      <c r="D70" s="1" t="s">
        <v>145</v>
      </c>
      <c r="E70" s="1" t="s">
        <v>136</v>
      </c>
      <c r="F70" s="1">
        <v>9</v>
      </c>
      <c r="G70" s="1">
        <v>0</v>
      </c>
      <c r="H70" s="1">
        <v>0</v>
      </c>
      <c r="I70" s="1">
        <v>0</v>
      </c>
      <c r="J70" s="1">
        <v>0</v>
      </c>
      <c r="K70" t="s">
        <v>155</v>
      </c>
    </row>
    <row r="71" spans="1:11" x14ac:dyDescent="0.3">
      <c r="A71" s="1">
        <v>10069</v>
      </c>
      <c r="B71" s="1" t="str">
        <f t="shared" si="1"/>
        <v>Equipment_Icon_Necklace_Tier10</v>
      </c>
      <c r="C71" s="1" t="str" cm="1">
        <f t="array" ref="C71">_xlfn.IFS(F71&lt;=2, "Common", F71&lt;=4, "Uncommon", F71&lt;=6, "Rare", F71&lt;=8, "Epic", F71=9, "Legendary", F71&gt;=10, "Mythic")</f>
        <v>Mythic</v>
      </c>
      <c r="D71" s="1" t="s">
        <v>146</v>
      </c>
      <c r="E71" s="1" t="s">
        <v>136</v>
      </c>
      <c r="F71" s="1">
        <v>10</v>
      </c>
      <c r="G71" s="1">
        <v>0</v>
      </c>
      <c r="H71" s="1">
        <v>0</v>
      </c>
      <c r="I71" s="1">
        <v>0</v>
      </c>
      <c r="J71" s="1">
        <v>0</v>
      </c>
      <c r="K71" t="s">
        <v>156</v>
      </c>
    </row>
    <row r="72" spans="1:11" x14ac:dyDescent="0.3">
      <c r="A72" s="1">
        <v>10070</v>
      </c>
      <c r="B72" s="1" t="str">
        <f t="shared" si="1"/>
        <v>Equipment_Icon_Charm_Tier1</v>
      </c>
      <c r="C72" s="1" t="str" cm="1">
        <f t="array" ref="C72">_xlfn.IFS(F72&lt;=2, "Common", F72&lt;=4, "Uncommon", F72&lt;=6, "Rare", F72&lt;=8, "Epic", F72=9, "Legendary", F72&gt;=10, "Mythic")</f>
        <v>Common</v>
      </c>
      <c r="D72" s="1" t="s">
        <v>158</v>
      </c>
      <c r="E72" s="1" t="s">
        <v>157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t="s">
        <v>168</v>
      </c>
    </row>
    <row r="73" spans="1:11" x14ac:dyDescent="0.3">
      <c r="A73" s="1">
        <v>10071</v>
      </c>
      <c r="B73" s="1" t="str">
        <f t="shared" si="1"/>
        <v>Equipment_Icon_Charm_Tier2</v>
      </c>
      <c r="C73" s="1" t="str" cm="1">
        <f t="array" ref="C73">_xlfn.IFS(F73&lt;=2, "Common", F73&lt;=4, "Uncommon", F73&lt;=6, "Rare", F73&lt;=8, "Epic", F73=9, "Legendary", F73&gt;=10, "Mythic")</f>
        <v>Common</v>
      </c>
      <c r="D73" s="1" t="s">
        <v>159</v>
      </c>
      <c r="E73" s="1" t="s">
        <v>157</v>
      </c>
      <c r="F73" s="1">
        <v>2</v>
      </c>
      <c r="G73" s="1">
        <v>0</v>
      </c>
      <c r="H73" s="1">
        <v>0</v>
      </c>
      <c r="I73" s="1">
        <v>0</v>
      </c>
      <c r="J73" s="1">
        <v>0</v>
      </c>
      <c r="K73" t="s">
        <v>169</v>
      </c>
    </row>
    <row r="74" spans="1:11" x14ac:dyDescent="0.3">
      <c r="A74" s="1">
        <v>10072</v>
      </c>
      <c r="B74" s="1" t="str">
        <f t="shared" si="1"/>
        <v>Equipment_Icon_Charm_Tier3</v>
      </c>
      <c r="C74" s="1" t="str" cm="1">
        <f t="array" ref="C74">_xlfn.IFS(F74&lt;=2, "Common", F74&lt;=4, "Uncommon", F74&lt;=6, "Rare", F74&lt;=8, "Epic", F74=9, "Legendary", F74&gt;=10, "Mythic")</f>
        <v>Uncommon</v>
      </c>
      <c r="D74" s="1" t="s">
        <v>160</v>
      </c>
      <c r="E74" s="1" t="s">
        <v>157</v>
      </c>
      <c r="F74" s="1">
        <v>3</v>
      </c>
      <c r="G74" s="1">
        <v>0</v>
      </c>
      <c r="H74" s="1">
        <v>0</v>
      </c>
      <c r="I74" s="1">
        <v>0</v>
      </c>
      <c r="J74" s="1">
        <v>0</v>
      </c>
      <c r="K74" t="s">
        <v>170</v>
      </c>
    </row>
    <row r="75" spans="1:11" x14ac:dyDescent="0.3">
      <c r="A75" s="1">
        <v>10073</v>
      </c>
      <c r="B75" s="1" t="str">
        <f t="shared" si="1"/>
        <v>Equipment_Icon_Charm_Tier4</v>
      </c>
      <c r="C75" s="1" t="str" cm="1">
        <f t="array" ref="C75">_xlfn.IFS(F75&lt;=2, "Common", F75&lt;=4, "Uncommon", F75&lt;=6, "Rare", F75&lt;=8, "Epic", F75=9, "Legendary", F75&gt;=10, "Mythic")</f>
        <v>Uncommon</v>
      </c>
      <c r="D75" s="1" t="s">
        <v>161</v>
      </c>
      <c r="E75" s="1" t="s">
        <v>157</v>
      </c>
      <c r="F75" s="1">
        <v>4</v>
      </c>
      <c r="G75" s="1">
        <v>0</v>
      </c>
      <c r="H75" s="1">
        <v>0</v>
      </c>
      <c r="I75" s="1">
        <v>0</v>
      </c>
      <c r="J75" s="1">
        <v>0</v>
      </c>
      <c r="K75" t="s">
        <v>171</v>
      </c>
    </row>
    <row r="76" spans="1:11" x14ac:dyDescent="0.3">
      <c r="A76" s="1">
        <v>10074</v>
      </c>
      <c r="B76" s="1" t="str">
        <f t="shared" si="1"/>
        <v>Equipment_Icon_Charm_Tier5</v>
      </c>
      <c r="C76" s="1" t="str" cm="1">
        <f t="array" ref="C76">_xlfn.IFS(F76&lt;=2, "Common", F76&lt;=4, "Uncommon", F76&lt;=6, "Rare", F76&lt;=8, "Epic", F76=9, "Legendary", F76&gt;=10, "Mythic")</f>
        <v>Rare</v>
      </c>
      <c r="D76" s="1" t="s">
        <v>162</v>
      </c>
      <c r="E76" s="1" t="s">
        <v>157</v>
      </c>
      <c r="F76" s="1">
        <v>5</v>
      </c>
      <c r="G76" s="1">
        <v>0</v>
      </c>
      <c r="H76" s="1">
        <v>0</v>
      </c>
      <c r="I76" s="1">
        <v>0</v>
      </c>
      <c r="J76" s="1">
        <v>0</v>
      </c>
      <c r="K76" t="s">
        <v>172</v>
      </c>
    </row>
    <row r="77" spans="1:11" x14ac:dyDescent="0.3">
      <c r="A77" s="1">
        <v>10075</v>
      </c>
      <c r="B77" s="1" t="str">
        <f t="shared" si="1"/>
        <v>Equipment_Icon_Charm_Tier6</v>
      </c>
      <c r="C77" s="1" t="str" cm="1">
        <f t="array" ref="C77">_xlfn.IFS(F77&lt;=2, "Common", F77&lt;=4, "Uncommon", F77&lt;=6, "Rare", F77&lt;=8, "Epic", F77=9, "Legendary", F77&gt;=10, "Mythic")</f>
        <v>Rare</v>
      </c>
      <c r="D77" s="1" t="s">
        <v>163</v>
      </c>
      <c r="E77" s="1" t="s">
        <v>157</v>
      </c>
      <c r="F77" s="1">
        <v>6</v>
      </c>
      <c r="G77" s="1">
        <v>0</v>
      </c>
      <c r="H77" s="1">
        <v>0</v>
      </c>
      <c r="I77" s="1">
        <v>0</v>
      </c>
      <c r="J77" s="1">
        <v>0</v>
      </c>
      <c r="K77" t="s">
        <v>173</v>
      </c>
    </row>
    <row r="78" spans="1:11" x14ac:dyDescent="0.3">
      <c r="A78" s="1">
        <v>10076</v>
      </c>
      <c r="B78" s="1" t="str">
        <f t="shared" si="1"/>
        <v>Equipment_Icon_Charm_Tier7</v>
      </c>
      <c r="C78" s="1" t="str" cm="1">
        <f t="array" ref="C78">_xlfn.IFS(F78&lt;=2, "Common", F78&lt;=4, "Uncommon", F78&lt;=6, "Rare", F78&lt;=8, "Epic", F78=9, "Legendary", F78&gt;=10, "Mythic")</f>
        <v>Epic</v>
      </c>
      <c r="D78" s="1" t="s">
        <v>164</v>
      </c>
      <c r="E78" s="1" t="s">
        <v>157</v>
      </c>
      <c r="F78" s="1">
        <v>7</v>
      </c>
      <c r="G78" s="1">
        <v>0</v>
      </c>
      <c r="H78" s="1">
        <v>0</v>
      </c>
      <c r="I78" s="1">
        <v>0</v>
      </c>
      <c r="J78" s="1">
        <v>0</v>
      </c>
      <c r="K78" t="s">
        <v>174</v>
      </c>
    </row>
    <row r="79" spans="1:11" x14ac:dyDescent="0.3">
      <c r="A79" s="1">
        <v>10077</v>
      </c>
      <c r="B79" s="1" t="str">
        <f t="shared" si="1"/>
        <v>Equipment_Icon_Charm_Tier8</v>
      </c>
      <c r="C79" s="1" t="str" cm="1">
        <f t="array" ref="C79">_xlfn.IFS(F79&lt;=2, "Common", F79&lt;=4, "Uncommon", F79&lt;=6, "Rare", F79&lt;=8, "Epic", F79=9, "Legendary", F79&gt;=10, "Mythic")</f>
        <v>Epic</v>
      </c>
      <c r="D79" s="1" t="s">
        <v>165</v>
      </c>
      <c r="E79" s="1" t="s">
        <v>157</v>
      </c>
      <c r="F79" s="1">
        <v>8</v>
      </c>
      <c r="G79" s="1">
        <v>0</v>
      </c>
      <c r="H79" s="1">
        <v>0</v>
      </c>
      <c r="I79" s="1">
        <v>0</v>
      </c>
      <c r="J79" s="1">
        <v>0</v>
      </c>
      <c r="K79" t="s">
        <v>175</v>
      </c>
    </row>
    <row r="80" spans="1:11" x14ac:dyDescent="0.3">
      <c r="A80" s="1">
        <v>10078</v>
      </c>
      <c r="B80" s="1" t="str">
        <f t="shared" si="1"/>
        <v>Equipment_Icon_Charm_Tier9</v>
      </c>
      <c r="C80" s="1" t="str" cm="1">
        <f t="array" ref="C80">_xlfn.IFS(F80&lt;=2, "Common", F80&lt;=4, "Uncommon", F80&lt;=6, "Rare", F80&lt;=8, "Epic", F80=9, "Legendary", F80&gt;=10, "Mythic")</f>
        <v>Legendary</v>
      </c>
      <c r="D80" s="1" t="s">
        <v>166</v>
      </c>
      <c r="E80" s="1" t="s">
        <v>157</v>
      </c>
      <c r="F80" s="1">
        <v>9</v>
      </c>
      <c r="G80" s="1">
        <v>0</v>
      </c>
      <c r="H80" s="1">
        <v>0</v>
      </c>
      <c r="I80" s="1">
        <v>0</v>
      </c>
      <c r="J80" s="1">
        <v>0</v>
      </c>
      <c r="K80" t="s">
        <v>176</v>
      </c>
    </row>
    <row r="81" spans="1:11" x14ac:dyDescent="0.3">
      <c r="A81" s="1">
        <v>10079</v>
      </c>
      <c r="B81" s="1" t="str">
        <f t="shared" si="1"/>
        <v>Equipment_Icon_Charm_Tier10</v>
      </c>
      <c r="C81" s="1" t="str" cm="1">
        <f t="array" ref="C81">_xlfn.IFS(F81&lt;=2, "Common", F81&lt;=4, "Uncommon", F81&lt;=6, "Rare", F81&lt;=8, "Epic", F81=9, "Legendary", F81&gt;=10, "Mythic")</f>
        <v>Mythic</v>
      </c>
      <c r="D81" s="1" t="s">
        <v>167</v>
      </c>
      <c r="E81" s="1" t="s">
        <v>157</v>
      </c>
      <c r="F81" s="1">
        <v>10</v>
      </c>
      <c r="G81" s="1">
        <v>0</v>
      </c>
      <c r="H81" s="1">
        <v>0</v>
      </c>
      <c r="I81" s="1">
        <v>0</v>
      </c>
      <c r="J81" s="1">
        <v>0</v>
      </c>
      <c r="K81" t="s">
        <v>177</v>
      </c>
    </row>
    <row r="82" spans="1:11" x14ac:dyDescent="0.3">
      <c r="A82" s="1">
        <v>10080</v>
      </c>
      <c r="B82" s="1" t="str">
        <f t="shared" si="1"/>
        <v>Equipment_Icon_Watch_Tier1</v>
      </c>
      <c r="C82" s="1" t="str" cm="1">
        <f t="array" ref="C82">_xlfn.IFS(F82&lt;=2, "Common", F82&lt;=4, "Uncommon", F82&lt;=6, "Rare", F82&lt;=8, "Epic", F82=9, "Legendary", F82&gt;=10, "Mythic")</f>
        <v>Common</v>
      </c>
      <c r="D82" s="1" t="s">
        <v>179</v>
      </c>
      <c r="E82" s="1" t="s">
        <v>178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t="s">
        <v>189</v>
      </c>
    </row>
    <row r="83" spans="1:11" x14ac:dyDescent="0.3">
      <c r="A83" s="1">
        <v>10081</v>
      </c>
      <c r="B83" s="1" t="str">
        <f t="shared" si="1"/>
        <v>Equipment_Icon_Watch_Tier2</v>
      </c>
      <c r="C83" s="1" t="str" cm="1">
        <f t="array" ref="C83">_xlfn.IFS(F83&lt;=2, "Common", F83&lt;=4, "Uncommon", F83&lt;=6, "Rare", F83&lt;=8, "Epic", F83=9, "Legendary", F83&gt;=10, "Mythic")</f>
        <v>Common</v>
      </c>
      <c r="D83" s="1" t="s">
        <v>180</v>
      </c>
      <c r="E83" s="1" t="s">
        <v>178</v>
      </c>
      <c r="F83" s="1">
        <v>2</v>
      </c>
      <c r="G83" s="1">
        <v>0</v>
      </c>
      <c r="H83" s="1">
        <v>0</v>
      </c>
      <c r="I83" s="1">
        <v>0</v>
      </c>
      <c r="J83" s="1">
        <v>0</v>
      </c>
      <c r="K83" t="s">
        <v>190</v>
      </c>
    </row>
    <row r="84" spans="1:11" x14ac:dyDescent="0.3">
      <c r="A84" s="1">
        <v>10082</v>
      </c>
      <c r="B84" s="1" t="str">
        <f t="shared" si="1"/>
        <v>Equipment_Icon_Watch_Tier3</v>
      </c>
      <c r="C84" s="1" t="str" cm="1">
        <f t="array" ref="C84">_xlfn.IFS(F84&lt;=2, "Common", F84&lt;=4, "Uncommon", F84&lt;=6, "Rare", F84&lt;=8, "Epic", F84=9, "Legendary", F84&gt;=10, "Mythic")</f>
        <v>Uncommon</v>
      </c>
      <c r="D84" s="1" t="s">
        <v>181</v>
      </c>
      <c r="E84" s="1" t="s">
        <v>178</v>
      </c>
      <c r="F84" s="1">
        <v>3</v>
      </c>
      <c r="G84" s="1">
        <v>0</v>
      </c>
      <c r="H84" s="1">
        <v>0</v>
      </c>
      <c r="I84" s="1">
        <v>0</v>
      </c>
      <c r="J84" s="1">
        <v>0</v>
      </c>
      <c r="K84" t="s">
        <v>191</v>
      </c>
    </row>
    <row r="85" spans="1:11" x14ac:dyDescent="0.3">
      <c r="A85" s="1">
        <v>10083</v>
      </c>
      <c r="B85" s="1" t="str">
        <f t="shared" si="1"/>
        <v>Equipment_Icon_Watch_Tier4</v>
      </c>
      <c r="C85" s="1" t="str" cm="1">
        <f t="array" ref="C85">_xlfn.IFS(F85&lt;=2, "Common", F85&lt;=4, "Uncommon", F85&lt;=6, "Rare", F85&lt;=8, "Epic", F85=9, "Legendary", F85&gt;=10, "Mythic")</f>
        <v>Uncommon</v>
      </c>
      <c r="D85" s="1" t="s">
        <v>182</v>
      </c>
      <c r="E85" s="1" t="s">
        <v>178</v>
      </c>
      <c r="F85" s="1">
        <v>4</v>
      </c>
      <c r="G85" s="1">
        <v>0</v>
      </c>
      <c r="H85" s="1">
        <v>0</v>
      </c>
      <c r="I85" s="1">
        <v>0</v>
      </c>
      <c r="J85" s="1">
        <v>0</v>
      </c>
      <c r="K85" t="s">
        <v>192</v>
      </c>
    </row>
    <row r="86" spans="1:11" x14ac:dyDescent="0.3">
      <c r="A86" s="1">
        <v>10084</v>
      </c>
      <c r="B86" s="1" t="str">
        <f t="shared" si="1"/>
        <v>Equipment_Icon_Watch_Tier5</v>
      </c>
      <c r="C86" s="1" t="str" cm="1">
        <f t="array" ref="C86">_xlfn.IFS(F86&lt;=2, "Common", F86&lt;=4, "Uncommon", F86&lt;=6, "Rare", F86&lt;=8, "Epic", F86=9, "Legendary", F86&gt;=10, "Mythic")</f>
        <v>Rare</v>
      </c>
      <c r="D86" s="1" t="s">
        <v>183</v>
      </c>
      <c r="E86" s="1" t="s">
        <v>178</v>
      </c>
      <c r="F86" s="1">
        <v>5</v>
      </c>
      <c r="G86" s="1">
        <v>0</v>
      </c>
      <c r="H86" s="1">
        <v>0</v>
      </c>
      <c r="I86" s="1">
        <v>0</v>
      </c>
      <c r="J86" s="1">
        <v>0</v>
      </c>
      <c r="K86" t="s">
        <v>193</v>
      </c>
    </row>
    <row r="87" spans="1:11" x14ac:dyDescent="0.3">
      <c r="A87" s="1">
        <v>10085</v>
      </c>
      <c r="B87" s="1" t="str">
        <f t="shared" si="1"/>
        <v>Equipment_Icon_Watch_Tier6</v>
      </c>
      <c r="C87" s="1" t="str" cm="1">
        <f t="array" ref="C87">_xlfn.IFS(F87&lt;=2, "Common", F87&lt;=4, "Uncommon", F87&lt;=6, "Rare", F87&lt;=8, "Epic", F87=9, "Legendary", F87&gt;=10, "Mythic")</f>
        <v>Rare</v>
      </c>
      <c r="D87" s="1" t="s">
        <v>184</v>
      </c>
      <c r="E87" s="1" t="s">
        <v>178</v>
      </c>
      <c r="F87" s="1">
        <v>6</v>
      </c>
      <c r="G87" s="1">
        <v>0</v>
      </c>
      <c r="H87" s="1">
        <v>0</v>
      </c>
      <c r="I87" s="1">
        <v>0</v>
      </c>
      <c r="J87" s="1">
        <v>0</v>
      </c>
      <c r="K87" t="s">
        <v>194</v>
      </c>
    </row>
    <row r="88" spans="1:11" x14ac:dyDescent="0.3">
      <c r="A88" s="1">
        <v>10086</v>
      </c>
      <c r="B88" s="1" t="str">
        <f t="shared" si="1"/>
        <v>Equipment_Icon_Watch_Tier7</v>
      </c>
      <c r="C88" s="1" t="str" cm="1">
        <f t="array" ref="C88">_xlfn.IFS(F88&lt;=2, "Common", F88&lt;=4, "Uncommon", F88&lt;=6, "Rare", F88&lt;=8, "Epic", F88=9, "Legendary", F88&gt;=10, "Mythic")</f>
        <v>Epic</v>
      </c>
      <c r="D88" s="1" t="s">
        <v>185</v>
      </c>
      <c r="E88" s="1" t="s">
        <v>178</v>
      </c>
      <c r="F88" s="1">
        <v>7</v>
      </c>
      <c r="G88" s="1">
        <v>0</v>
      </c>
      <c r="H88" s="1">
        <v>0</v>
      </c>
      <c r="I88" s="1">
        <v>0</v>
      </c>
      <c r="J88" s="1">
        <v>0</v>
      </c>
      <c r="K88" t="s">
        <v>195</v>
      </c>
    </row>
    <row r="89" spans="1:11" x14ac:dyDescent="0.3">
      <c r="A89" s="1">
        <v>10087</v>
      </c>
      <c r="B89" s="1" t="str">
        <f t="shared" si="1"/>
        <v>Equipment_Icon_Watch_Tier8</v>
      </c>
      <c r="C89" s="1" t="str" cm="1">
        <f t="array" ref="C89">_xlfn.IFS(F89&lt;=2, "Common", F89&lt;=4, "Uncommon", F89&lt;=6, "Rare", F89&lt;=8, "Epic", F89=9, "Legendary", F89&gt;=10, "Mythic")</f>
        <v>Epic</v>
      </c>
      <c r="D89" s="1" t="s">
        <v>186</v>
      </c>
      <c r="E89" s="1" t="s">
        <v>178</v>
      </c>
      <c r="F89" s="1">
        <v>8</v>
      </c>
      <c r="G89" s="1">
        <v>0</v>
      </c>
      <c r="H89" s="1">
        <v>0</v>
      </c>
      <c r="I89" s="1">
        <v>0</v>
      </c>
      <c r="J89" s="1">
        <v>0</v>
      </c>
      <c r="K89" t="s">
        <v>196</v>
      </c>
    </row>
    <row r="90" spans="1:11" x14ac:dyDescent="0.3">
      <c r="A90" s="1">
        <v>10088</v>
      </c>
      <c r="B90" s="1" t="str">
        <f t="shared" si="1"/>
        <v>Equipment_Icon_Watch_Tier9</v>
      </c>
      <c r="C90" s="1" t="str" cm="1">
        <f t="array" ref="C90">_xlfn.IFS(F90&lt;=2, "Common", F90&lt;=4, "Uncommon", F90&lt;=6, "Rare", F90&lt;=8, "Epic", F90=9, "Legendary", F90&gt;=10, "Mythic")</f>
        <v>Legendary</v>
      </c>
      <c r="D90" s="1" t="s">
        <v>187</v>
      </c>
      <c r="E90" s="1" t="s">
        <v>178</v>
      </c>
      <c r="F90" s="1">
        <v>9</v>
      </c>
      <c r="G90" s="1">
        <v>0</v>
      </c>
      <c r="H90" s="1">
        <v>0</v>
      </c>
      <c r="I90" s="1">
        <v>0</v>
      </c>
      <c r="J90" s="1">
        <v>0</v>
      </c>
      <c r="K90" t="s">
        <v>197</v>
      </c>
    </row>
    <row r="91" spans="1:11" x14ac:dyDescent="0.3">
      <c r="A91" s="1">
        <v>10089</v>
      </c>
      <c r="B91" s="1" t="str">
        <f t="shared" si="1"/>
        <v>Equipment_Icon_Watch_Tier10</v>
      </c>
      <c r="C91" s="1" t="str" cm="1">
        <f t="array" ref="C91">_xlfn.IFS(F91&lt;=2, "Common", F91&lt;=4, "Uncommon", F91&lt;=6, "Rare", F91&lt;=8, "Epic", F91=9, "Legendary", F91&gt;=10, "Mythic")</f>
        <v>Mythic</v>
      </c>
      <c r="D91" s="1" t="s">
        <v>188</v>
      </c>
      <c r="E91" s="1" t="s">
        <v>178</v>
      </c>
      <c r="F91" s="1">
        <v>10</v>
      </c>
      <c r="G91" s="1">
        <v>0</v>
      </c>
      <c r="H91" s="1">
        <v>0</v>
      </c>
      <c r="I91" s="1">
        <v>0</v>
      </c>
      <c r="J91" s="1">
        <v>0</v>
      </c>
      <c r="K91" t="s">
        <v>198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6D266-0A25-43B9-8C57-1B2DE3A951CA}">
  <dimension ref="A1:H21"/>
  <sheetViews>
    <sheetView workbookViewId="0">
      <selection activeCell="D8" sqref="D8"/>
    </sheetView>
  </sheetViews>
  <sheetFormatPr defaultRowHeight="16.5" x14ac:dyDescent="0.3"/>
  <cols>
    <col min="2" max="4" width="14.375" customWidth="1"/>
    <col min="5" max="5" width="16" customWidth="1"/>
    <col min="6" max="6" width="12.875" customWidth="1"/>
    <col min="7" max="7" width="10.25" customWidth="1"/>
    <col min="8" max="8" width="35.625" customWidth="1"/>
    <col min="9" max="9" width="18.875" customWidth="1"/>
  </cols>
  <sheetData>
    <row r="1" spans="1:8" x14ac:dyDescent="0.3">
      <c r="A1" s="1" t="s">
        <v>0</v>
      </c>
      <c r="B1" s="1" t="s">
        <v>41</v>
      </c>
      <c r="C1" s="1" t="s">
        <v>215</v>
      </c>
      <c r="D1" s="1" t="s">
        <v>1</v>
      </c>
      <c r="E1" s="1" t="s">
        <v>209</v>
      </c>
      <c r="F1" s="1" t="s">
        <v>210</v>
      </c>
      <c r="G1" s="1" t="s">
        <v>199</v>
      </c>
      <c r="H1" s="1" t="s">
        <v>2</v>
      </c>
    </row>
    <row r="2" spans="1:8" x14ac:dyDescent="0.3">
      <c r="A2" s="1">
        <v>20000</v>
      </c>
      <c r="B2" s="1" t="s">
        <v>211</v>
      </c>
      <c r="C2" s="1" t="s">
        <v>216</v>
      </c>
      <c r="D2" s="1" t="s">
        <v>213</v>
      </c>
      <c r="E2" s="1">
        <v>50</v>
      </c>
      <c r="F2" s="1">
        <v>0</v>
      </c>
      <c r="G2" s="1">
        <v>999</v>
      </c>
      <c r="H2" s="1" t="s">
        <v>212</v>
      </c>
    </row>
    <row r="3" spans="1:8" x14ac:dyDescent="0.3">
      <c r="A3" s="1"/>
      <c r="B3" s="1"/>
      <c r="C3" s="1"/>
      <c r="D3" s="1"/>
      <c r="E3" s="1"/>
      <c r="F3" s="1"/>
      <c r="G3" s="1"/>
      <c r="H3" s="1"/>
    </row>
    <row r="4" spans="1:8" x14ac:dyDescent="0.3">
      <c r="A4" s="1"/>
      <c r="B4" s="1"/>
      <c r="C4" s="1"/>
      <c r="D4" s="1"/>
      <c r="E4" s="1"/>
      <c r="F4" s="1"/>
      <c r="G4" s="1"/>
      <c r="H4" s="1"/>
    </row>
    <row r="5" spans="1:8" x14ac:dyDescent="0.3">
      <c r="A5" s="1"/>
      <c r="B5" s="1"/>
      <c r="C5" s="1"/>
      <c r="D5" s="1"/>
      <c r="E5" s="1"/>
      <c r="F5" s="1"/>
      <c r="G5" s="1"/>
      <c r="H5" s="1"/>
    </row>
    <row r="6" spans="1:8" x14ac:dyDescent="0.3">
      <c r="A6" s="1"/>
      <c r="B6" s="1"/>
      <c r="C6" s="1"/>
      <c r="D6" s="1"/>
      <c r="E6" s="1"/>
      <c r="F6" s="1"/>
      <c r="G6" s="1"/>
      <c r="H6" s="1"/>
    </row>
    <row r="7" spans="1:8" x14ac:dyDescent="0.3">
      <c r="A7" s="1"/>
      <c r="B7" s="1"/>
      <c r="C7" s="1"/>
      <c r="D7" s="1"/>
      <c r="E7" s="1"/>
      <c r="F7" s="1"/>
      <c r="G7" s="1"/>
      <c r="H7" s="1"/>
    </row>
    <row r="8" spans="1:8" x14ac:dyDescent="0.3">
      <c r="A8" s="1"/>
      <c r="B8" s="1"/>
      <c r="C8" s="1"/>
      <c r="D8" s="1"/>
      <c r="E8" s="1"/>
      <c r="F8" s="1"/>
      <c r="G8" s="1"/>
      <c r="H8" s="1"/>
    </row>
    <row r="9" spans="1:8" x14ac:dyDescent="0.3">
      <c r="A9" s="1"/>
      <c r="B9" s="1"/>
      <c r="C9" s="1"/>
      <c r="D9" s="1"/>
      <c r="E9" s="1"/>
      <c r="F9" s="1"/>
      <c r="G9" s="1"/>
      <c r="H9" s="1"/>
    </row>
    <row r="10" spans="1:8" x14ac:dyDescent="0.3">
      <c r="A10" s="1"/>
      <c r="B10" s="1"/>
      <c r="C10" s="1"/>
      <c r="D10" s="1"/>
      <c r="E10" s="1"/>
      <c r="F10" s="1"/>
      <c r="G10" s="1"/>
      <c r="H10" s="1"/>
    </row>
    <row r="11" spans="1:8" x14ac:dyDescent="0.3">
      <c r="A11" s="1"/>
      <c r="B11" s="1"/>
      <c r="C11" s="1"/>
      <c r="D11" s="1"/>
      <c r="E11" s="1"/>
      <c r="F11" s="1"/>
      <c r="G11" s="1"/>
      <c r="H11" s="1"/>
    </row>
    <row r="12" spans="1:8" x14ac:dyDescent="0.3">
      <c r="A12" s="1"/>
      <c r="B12" s="1"/>
      <c r="C12" s="1"/>
      <c r="D12" s="1"/>
      <c r="E12" s="1"/>
      <c r="F12" s="1"/>
      <c r="G12" s="1"/>
      <c r="H12" s="1"/>
    </row>
    <row r="13" spans="1:8" x14ac:dyDescent="0.3">
      <c r="A13" s="1"/>
      <c r="B13" s="1"/>
      <c r="C13" s="1"/>
      <c r="D13" s="1"/>
      <c r="E13" s="1"/>
      <c r="F13" s="1"/>
      <c r="G13" s="1"/>
      <c r="H13" s="1"/>
    </row>
    <row r="14" spans="1:8" x14ac:dyDescent="0.3">
      <c r="A14" s="1"/>
      <c r="B14" s="1"/>
      <c r="C14" s="1"/>
      <c r="D14" s="1"/>
      <c r="E14" s="1"/>
      <c r="F14" s="1"/>
      <c r="G14" s="1"/>
      <c r="H14" s="1"/>
    </row>
    <row r="15" spans="1:8" x14ac:dyDescent="0.3">
      <c r="A15" s="1"/>
      <c r="B15" s="1"/>
      <c r="C15" s="1"/>
      <c r="D15" s="1"/>
      <c r="E15" s="1"/>
      <c r="F15" s="1"/>
      <c r="G15" s="1"/>
      <c r="H15" s="1"/>
    </row>
    <row r="16" spans="1:8" x14ac:dyDescent="0.3">
      <c r="A16" s="1"/>
      <c r="B16" s="1"/>
      <c r="C16" s="1"/>
      <c r="D16" s="1"/>
      <c r="E16" s="1"/>
      <c r="F16" s="1"/>
      <c r="G16" s="1"/>
      <c r="H16" s="1"/>
    </row>
    <row r="17" spans="1:8" x14ac:dyDescent="0.3">
      <c r="A17" s="1"/>
      <c r="B17" s="1"/>
      <c r="C17" s="1"/>
      <c r="D17" s="1"/>
      <c r="E17" s="1"/>
      <c r="F17" s="1"/>
      <c r="G17" s="1"/>
      <c r="H17" s="1"/>
    </row>
    <row r="18" spans="1:8" x14ac:dyDescent="0.3">
      <c r="A18" s="1"/>
      <c r="B18" s="1"/>
      <c r="C18" s="1"/>
      <c r="D18" s="1"/>
      <c r="E18" s="1"/>
      <c r="F18" s="1"/>
      <c r="G18" s="1"/>
      <c r="H18" s="1"/>
    </row>
    <row r="19" spans="1:8" x14ac:dyDescent="0.3">
      <c r="A19" s="1"/>
      <c r="B19" s="1"/>
      <c r="C19" s="1"/>
      <c r="D19" s="1"/>
      <c r="E19" s="1"/>
      <c r="F19" s="1"/>
      <c r="G19" s="1"/>
      <c r="H19" s="1"/>
    </row>
    <row r="20" spans="1:8" x14ac:dyDescent="0.3">
      <c r="A20" s="1"/>
      <c r="B20" s="1"/>
      <c r="C20" s="1"/>
      <c r="D20" s="1"/>
      <c r="E20" s="1"/>
      <c r="F20" s="1"/>
      <c r="G20" s="1"/>
      <c r="H20" s="1"/>
    </row>
    <row r="21" spans="1:8" x14ac:dyDescent="0.3">
      <c r="A21" s="1"/>
      <c r="B21" s="1"/>
      <c r="C21" s="1"/>
      <c r="D21" s="1"/>
      <c r="E21" s="1"/>
      <c r="F21" s="1"/>
      <c r="G21" s="1"/>
      <c r="H21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8C5B-443D-45C4-801C-6E2A1C02F9D6}">
  <dimension ref="A1:L28"/>
  <sheetViews>
    <sheetView workbookViewId="0">
      <selection activeCell="C22" sqref="C22"/>
    </sheetView>
  </sheetViews>
  <sheetFormatPr defaultRowHeight="16.5" x14ac:dyDescent="0.3"/>
  <cols>
    <col min="2" max="3" width="30.25" customWidth="1"/>
    <col min="4" max="4" width="13" customWidth="1"/>
    <col min="6" max="6" width="11.875" customWidth="1"/>
    <col min="7" max="7" width="28.25" customWidth="1"/>
  </cols>
  <sheetData>
    <row r="1" spans="1:12" x14ac:dyDescent="0.3">
      <c r="A1" s="1" t="s">
        <v>0</v>
      </c>
      <c r="B1" s="1" t="s">
        <v>41</v>
      </c>
      <c r="C1" s="1" t="s">
        <v>215</v>
      </c>
      <c r="D1" s="1" t="s">
        <v>1</v>
      </c>
      <c r="E1" s="1" t="s">
        <v>3</v>
      </c>
      <c r="F1" s="1" t="s">
        <v>199</v>
      </c>
      <c r="G1" s="1" t="s">
        <v>2</v>
      </c>
      <c r="H1" s="1"/>
      <c r="I1" s="1"/>
    </row>
    <row r="2" spans="1:12" x14ac:dyDescent="0.3">
      <c r="A2" s="1">
        <v>30000</v>
      </c>
      <c r="B2" s="1" t="s">
        <v>202</v>
      </c>
      <c r="C2" s="1" t="s">
        <v>216</v>
      </c>
      <c r="D2" s="1" t="s">
        <v>200</v>
      </c>
      <c r="E2" s="1">
        <v>1</v>
      </c>
      <c r="F2" s="1">
        <v>9999</v>
      </c>
      <c r="G2" s="1" t="s">
        <v>201</v>
      </c>
      <c r="H2" s="1"/>
      <c r="I2" s="1"/>
      <c r="J2" s="1"/>
      <c r="K2" s="1"/>
      <c r="L2" s="1"/>
    </row>
    <row r="3" spans="1:12" x14ac:dyDescent="0.3">
      <c r="A3" s="1">
        <v>30001</v>
      </c>
      <c r="B3" s="1" t="s">
        <v>205</v>
      </c>
      <c r="C3" s="1" t="s">
        <v>217</v>
      </c>
      <c r="D3" s="1" t="s">
        <v>207</v>
      </c>
      <c r="E3" s="1">
        <v>2</v>
      </c>
      <c r="F3" s="1">
        <v>9999</v>
      </c>
      <c r="G3" s="1" t="s">
        <v>203</v>
      </c>
      <c r="H3" s="1"/>
      <c r="I3" s="1"/>
      <c r="J3" s="1"/>
      <c r="K3" s="1"/>
      <c r="L3" s="1"/>
    </row>
    <row r="4" spans="1:12" x14ac:dyDescent="0.3">
      <c r="A4" s="1">
        <v>30002</v>
      </c>
      <c r="B4" s="1" t="s">
        <v>206</v>
      </c>
      <c r="C4" s="1" t="s">
        <v>218</v>
      </c>
      <c r="D4" s="1" t="s">
        <v>208</v>
      </c>
      <c r="E4" s="1">
        <v>3</v>
      </c>
      <c r="F4" s="1">
        <v>9999</v>
      </c>
      <c r="G4" s="1" t="s">
        <v>204</v>
      </c>
      <c r="H4" s="1"/>
      <c r="I4" s="1"/>
      <c r="J4" s="1"/>
      <c r="K4" s="1"/>
      <c r="L4" s="1"/>
    </row>
    <row r="5" spans="1:1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Equipment</vt:lpstr>
      <vt:lpstr>Consumable</vt:lpstr>
      <vt:lpstr>Material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이형규</dc:creator>
  <cp:lastModifiedBy>이형규</cp:lastModifiedBy>
  <dcterms:created xsi:type="dcterms:W3CDTF">2026-03-04T14:55:30Z</dcterms:created>
  <dcterms:modified xsi:type="dcterms:W3CDTF">2026-03-05T22:10:20Z</dcterms:modified>
</cp:coreProperties>
</file>