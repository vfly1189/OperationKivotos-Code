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ocuments\GitHub\OperationKivotos\Assets\ExcelData\"/>
    </mc:Choice>
  </mc:AlternateContent>
  <xr:revisionPtr revIDLastSave="0" documentId="13_ncr:1_{BE1CA696-5111-450E-BC28-7F9A01304FE7}" xr6:coauthVersionLast="47" xr6:coauthVersionMax="47" xr10:uidLastSave="{00000000-0000-0000-0000-000000000000}"/>
  <bookViews>
    <workbookView xWindow="31005" yWindow="1530" windowWidth="21600" windowHeight="11385" tabRatio="791" activeTab="3" xr2:uid="{79C10FCB-8206-4E1E-8455-B9F6861255DC}"/>
  </bookViews>
  <sheets>
    <sheet name="Equipment" sheetId="1" r:id="rId1"/>
    <sheet name="EquipmentUpgradeCost" sheetId="10" r:id="rId2"/>
    <sheet name="StatPool" sheetId="4" r:id="rId3"/>
    <sheet name="GradeConfig" sheetId="11" r:id="rId4"/>
    <sheet name="Consumable" sheetId="2" r:id="rId5"/>
    <sheet name="Material" sheetId="3" r:id="rId6"/>
    <sheet name="EquipmentLevelExpData" sheetId="7" r:id="rId7"/>
    <sheet name="EquipmentDecomposition" sheetId="8" r:id="rId8"/>
    <sheet name="EquipPartMapping" sheetId="5" r:id="rId9"/>
    <sheet name="TierMapping" sheetId="6" r:id="rId10"/>
    <sheet name="EquipmentUpgradeBookExp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9" i="8"/>
  <c r="G10" i="8"/>
  <c r="G11" i="8"/>
  <c r="G2" i="8"/>
  <c r="E3" i="8"/>
  <c r="E4" i="8"/>
  <c r="E5" i="8"/>
  <c r="E6" i="8"/>
  <c r="E7" i="8"/>
  <c r="E8" i="8"/>
  <c r="E9" i="8"/>
  <c r="E10" i="8"/>
  <c r="E11" i="8"/>
  <c r="E2" i="8"/>
  <c r="C3" i="8"/>
  <c r="C4" i="8"/>
  <c r="C5" i="8"/>
  <c r="C6" i="8"/>
  <c r="C7" i="8"/>
  <c r="C8" i="8"/>
  <c r="C9" i="8"/>
  <c r="C10" i="8"/>
  <c r="C11" i="8"/>
  <c r="C2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G6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2" i="1"/>
  <c r="C29" i="1" a="1"/>
  <c r="C29" i="1" s="1"/>
  <c r="C18" i="1" a="1"/>
  <c r="C18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9" i="1" a="1"/>
  <c r="C19" i="1" s="1"/>
  <c r="C20" i="1" a="1"/>
  <c r="C20" i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30" i="1" a="1"/>
  <c r="C30" i="1" s="1"/>
  <c r="C31" i="1" a="1"/>
  <c r="C31" i="1" s="1"/>
  <c r="C32" i="1" a="1"/>
  <c r="C32" i="1"/>
  <c r="C33" i="1" a="1"/>
  <c r="C33" i="1" s="1"/>
  <c r="C34" i="1" a="1"/>
  <c r="C34" i="1"/>
  <c r="C35" i="1" a="1"/>
  <c r="C35" i="1"/>
  <c r="C36" i="1" a="1"/>
  <c r="C36" i="1" s="1"/>
  <c r="C37" i="1" a="1"/>
  <c r="C37" i="1"/>
  <c r="C38" i="1" a="1"/>
  <c r="C38" i="1" s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 s="1"/>
  <c r="C67" i="1" a="1"/>
  <c r="C67" i="1"/>
  <c r="C68" i="1" a="1"/>
  <c r="C68" i="1" s="1"/>
  <c r="C69" i="1" a="1"/>
  <c r="C69" i="1"/>
  <c r="C70" i="1" a="1"/>
  <c r="C70" i="1" s="1"/>
  <c r="C71" i="1" a="1"/>
  <c r="C71" i="1" s="1"/>
  <c r="C72" i="1" a="1"/>
  <c r="C72" i="1" s="1"/>
  <c r="C73" i="1" a="1"/>
  <c r="C73" i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/>
  <c r="C91" i="1" a="1"/>
  <c r="C91" i="1" s="1"/>
  <c r="C2" i="1" a="1"/>
  <c r="C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<sst xmlns="http://schemas.openxmlformats.org/spreadsheetml/2006/main" count="845" uniqueCount="335">
  <si>
    <t>ID</t>
    <phoneticPr fontId="1" type="noConversion"/>
  </si>
  <si>
    <t>Name</t>
    <phoneticPr fontId="1" type="noConversion"/>
  </si>
  <si>
    <t>Description</t>
    <phoneticPr fontId="1" type="noConversion"/>
  </si>
  <si>
    <t>Tier</t>
    <phoneticPr fontId="1" type="noConversion"/>
  </si>
  <si>
    <t>무지캡모자</t>
    <phoneticPr fontId="1" type="noConversion"/>
  </si>
  <si>
    <t>니트 털모자</t>
    <phoneticPr fontId="1" type="noConversion"/>
  </si>
  <si>
    <t>빅 브라더 페도라</t>
    <phoneticPr fontId="1" type="noConversion"/>
  </si>
  <si>
    <t>리본 베레모</t>
    <phoneticPr fontId="1" type="noConversion"/>
  </si>
  <si>
    <t>방탄 헬멧</t>
    <phoneticPr fontId="1" type="noConversion"/>
  </si>
  <si>
    <t>프릴 미니 햇</t>
    <phoneticPr fontId="1" type="noConversion"/>
  </si>
  <si>
    <t>버킷 햇</t>
    <phoneticPr fontId="1" type="noConversion"/>
  </si>
  <si>
    <t>리프 리본 페도라</t>
    <phoneticPr fontId="1" type="noConversion"/>
  </si>
  <si>
    <t>세일러 햇</t>
    <phoneticPr fontId="1" type="noConversion"/>
  </si>
  <si>
    <t>게이밍 헬멧</t>
    <phoneticPr fontId="1" type="noConversion"/>
  </si>
  <si>
    <t>Hat</t>
    <phoneticPr fontId="1" type="noConversion"/>
  </si>
  <si>
    <t>스포츠웨어 브랜드, &lt;서벌&gt;에서 출시한 남색의 무지 캡모자. 다양한 종류의 배지를 달아 개성을 강조할 수 있기 때문에 패션용으로도 애용되고 있다.</t>
  </si>
  <si>
    <t>아웃도어 브랜드, &lt;마나슬루&gt;에서 여고생들을 겨냥하여 만든 니트 털모자. 보온성은 다소 떨어지지만 귀여운 디자인 덕분에 인기가 높다.</t>
  </si>
  <si>
    <t>&lt;모모 프렌즈&gt;의 캐릭터, 빅 브라더 인형이 달린 작은 페도라. 이 모자를 쓰면 갑자기 빅 브라더의 시선이 느껴진다고 한다.</t>
  </si>
  <si>
    <t>머리를 향해 날아오는 온갖 물건을 막아낼 수 있는 튼튼한 방탄 헬멧. 외피는 부드러운 면 소재로 제작되어 패치 등을 붙여 꾸밀 수 있다.</t>
  </si>
  <si>
    <t>화려한 프릴로 장식된 미니 햇. 챙 아래에 모자를 고정시키기 위한 작은 헤어핀이 숨겨져 있다.</t>
  </si>
  <si>
    <t>얼굴 윗부분을 내리덮는 버킷 햇. 마스크와 조합하면 얼굴의 노출을 최소한으로 할 수 있기 때문에 자외선 대책에도 OK.</t>
  </si>
  <si>
    <t>나뭇잎 장식이 리본 모양으로 꽂혀 있는 패브릭 페도라. 휴양지 패션에 잘 어울린다.</t>
  </si>
  <si>
    <t>음료수를 장착할 수 있는 모자. 빨대가 달려 있어 게임 중에도 손을 쓰지 않고 음료를 섭취할 수 있다.</t>
  </si>
  <si>
    <t>트리니티 학원의 교모로도 사용되는 흰색의 리본 베레모. 착용자의 말에 의하면 베레모의 볼륨감을 예쁘게 살리는 것이 생각보다 어렵다고 한다.</t>
  </si>
  <si>
    <t>줄무늬로 가볍게 포인트를 준 흰색 세일러 햇. 심플한 디자인의 이 모자는 오디세이아 해양학원의 교모로도 사용되고 있다.</t>
  </si>
  <si>
    <t>스포츠용 장갑</t>
    <phoneticPr fontId="1" type="noConversion"/>
  </si>
  <si>
    <t>니트 벙어리 장갑</t>
    <phoneticPr fontId="1" type="noConversion"/>
  </si>
  <si>
    <t>페로로 오븐 장갑</t>
    <phoneticPr fontId="1" type="noConversion"/>
  </si>
  <si>
    <t>가죽 글러브</t>
    <phoneticPr fontId="1" type="noConversion"/>
  </si>
  <si>
    <t>택티컬 글러브</t>
    <phoneticPr fontId="1" type="noConversion"/>
  </si>
  <si>
    <t>레이스 글러브</t>
    <phoneticPr fontId="1" type="noConversion"/>
  </si>
  <si>
    <t>팔 토시 워머</t>
    <phoneticPr fontId="1" type="noConversion"/>
  </si>
  <si>
    <t>진주 털실 장갑</t>
    <phoneticPr fontId="1" type="noConversion"/>
  </si>
  <si>
    <t>세일링 글러브</t>
    <phoneticPr fontId="1" type="noConversion"/>
  </si>
  <si>
    <t>슈퍼 글러브</t>
    <phoneticPr fontId="1" type="noConversion"/>
  </si>
  <si>
    <t>EquipPart</t>
    <phoneticPr fontId="1" type="noConversion"/>
  </si>
  <si>
    <t>IconKey</t>
    <phoneticPr fontId="1" type="noConversion"/>
  </si>
  <si>
    <t>쉽게 미끄러지지 않도록 울퉁불퉁한 겉감을 안쪽에 덧댄 스포츠용 장갑. 재질에 난연소재가 섞여있어 뜨거운 총신을 만질 때도 안심할 수 있다.</t>
  </si>
  <si>
    <t>아웃도어 브랜드, &lt;마나슬루&gt;에서 여고생들을 겨냥하여 만든 니트 벙어리 장갑. 보온성은 다소 떨어지지만 귀여운 디자인 덕분에 인기가 높다.</t>
  </si>
  <si>
    <t>&lt;모모 프렌즈&gt;의 마스코트 캐릭터, 페로로의 디자인을 따 만들어진 흰색의 오븐 장갑. 이 오븐 장갑을 끼면 갑자기 괴상한 댄스를 추고 싶은 욕망에 휩싸이게된다는 소문이 있다.</t>
  </si>
  <si>
    <t>고급 가죽 원단을 사용하여 만들어진 가죽 글러브. 내구도가 그리 높지 않기 때문에 주로 예식용으로 사용된다.</t>
  </si>
  <si>
    <t>방염 소재를 사용하여 튼튼하게 만들어진 택티컬 글러브. 뜨겁게 가열된 총신을 붙잡아도 데일 위험이 없다.</t>
  </si>
  <si>
    <t>새틴 소재로 만들어진 고급스러운 디자인의 글러브. 열에는 취약하기 때문에 화기를 취급할 때는 주의.</t>
  </si>
  <si>
    <t>팔 보호와 패션을 동시에 추구하는 학생들을 위한 토시 워머. 계절이 바뀔 때 사용하면 특히 효과적이다.</t>
  </si>
  <si>
    <t>진주 장식이 달린 털장갑. 손가락 부분은 노출되어 있어서 정교한 작업을 하는 데도 문제없다.</t>
  </si>
  <si>
    <t>손바닥에 안감이 더해진 오픈핑거 글러브 형태의 글러브. 통풍이 잘되는 합성수지로 제작된 이 글러브는 세일링과 같은 선박 작업에 적합하다.</t>
  </si>
  <si>
    <t>모션 인식 장치가 탑재된 게임용 글러브. 성능은 좋지 않았지만 후대의 게임 개발자들에게 큰 영감을 주었다.</t>
  </si>
  <si>
    <t>Shoes</t>
    <phoneticPr fontId="1" type="noConversion"/>
  </si>
  <si>
    <t>핑크 스니커즈</t>
    <phoneticPr fontId="1" type="noConversion"/>
  </si>
  <si>
    <t>어그 부츠</t>
    <phoneticPr fontId="1" type="noConversion"/>
  </si>
  <si>
    <t>핑키파카 슬리퍼</t>
    <phoneticPr fontId="1" type="noConversion"/>
  </si>
  <si>
    <t>앤티크 에나멜 로퍼</t>
    <phoneticPr fontId="1" type="noConversion"/>
  </si>
  <si>
    <t>전술 부츠</t>
    <phoneticPr fontId="1" type="noConversion"/>
  </si>
  <si>
    <t>펌프스 힐</t>
    <phoneticPr fontId="1" type="noConversion"/>
  </si>
  <si>
    <t>커주얼 스니커즈</t>
    <phoneticPr fontId="1" type="noConversion"/>
  </si>
  <si>
    <t>방수 등산 부츠</t>
    <phoneticPr fontId="1" type="noConversion"/>
  </si>
  <si>
    <t>아쿠아 샌들</t>
    <phoneticPr fontId="1" type="noConversion"/>
  </si>
  <si>
    <t>게이밍 슬리퍼</t>
    <phoneticPr fontId="1" type="noConversion"/>
  </si>
  <si>
    <t>스포츠웨어 브랜드 &lt;서벌&gt;에서 출시된 핑크색 스니커즈. 푹신한 소재의 밑창을 사용하여 달리기에 적합하다.</t>
  </si>
  <si>
    <t>아웃도어 브랜드 &lt;마나슬루&gt;의 방한용 장화. 귀여운 디자인에 보온성도 우수해 추운 지방의 여고생들에게 인기가 높다.</t>
  </si>
  <si>
    <t>&lt;모모 프렌즈&gt;의 핑크색 알파카, 핑키파카를 모티브로 만들어진 슬리퍼. 푹신하고 단열성[4]</t>
  </si>
  <si>
    <t>트리니티 학원의 학생들이 착용하는 고급 단화. 에나멜 도료로 마감되어 빛을 받으면 구두코가 반짝거린다.</t>
  </si>
  <si>
    <t>발을 보호하기 위해 두껍고 튼튼하게 만들어진 전술 부츠. 굽이 높아 키를 커보이게 하는 효과가 있기 때문에 키가 작은 학생들이 애용한다.</t>
  </si>
  <si>
    <t>귀여운 발목 끈이 달린 하이힐. 착용자의 걸음걸이를 우아하게 만들어준다.</t>
  </si>
  <si>
    <t>깔끔하게 만들어진 스니커즈. 착용감이 가벼워 활동량이 많은 학생에게 선호된다.</t>
  </si>
  <si>
    <t>천연고무에 방수 코팅을 해서 통기성이 좋고 내구성이 좋은 등산용 부츠. 물에 빠져도 겉면은 젖지 않는다.</t>
  </si>
  <si>
    <t>물 빠짐이 쉽도록 방수 재질로 만들어진 일체형 샌들. 물기가 많은 곳에서도 쉽게 미끄러지지 않도록 바닥에는 패드가 부착되어 있다.</t>
  </si>
  <si>
    <t>빨간색, 녹색, 파란색으로 번쩍이는 슬리퍼. 어둠 속에서도 쉽게 찾을 수 있지만, 그것이 게임과 어떤 연관이 있는지는 아무도 모른다.</t>
  </si>
  <si>
    <t>Badge</t>
    <phoneticPr fontId="1" type="noConversion"/>
  </si>
  <si>
    <t>서벌 금속 배지</t>
    <phoneticPr fontId="1" type="noConversion"/>
  </si>
  <si>
    <t>마나슬루 펠트 배지</t>
    <phoneticPr fontId="1" type="noConversion"/>
  </si>
  <si>
    <t>앵그리 아델리 원형 배지</t>
    <phoneticPr fontId="1" type="noConversion"/>
  </si>
  <si>
    <t>베로니카 자수 배지</t>
    <phoneticPr fontId="1" type="noConversion"/>
  </si>
  <si>
    <t>카제야마 벨크로 배지</t>
    <phoneticPr fontId="1" type="noConversion"/>
  </si>
  <si>
    <t>코코데빌 실버 배지</t>
    <phoneticPr fontId="1" type="noConversion"/>
  </si>
  <si>
    <t>스트릿 배지</t>
    <phoneticPr fontId="1" type="noConversion"/>
  </si>
  <si>
    <t>로렐라이 배지</t>
    <phoneticPr fontId="1" type="noConversion"/>
  </si>
  <si>
    <t>하르피아 플렉시블 배지</t>
    <phoneticPr fontId="1" type="noConversion"/>
  </si>
  <si>
    <t>코인 배지</t>
    <phoneticPr fontId="1" type="noConversion"/>
  </si>
  <si>
    <t>유명 스포츠 브랜드 &lt;서벌&gt;의 로고가 인쇄된 금속 배지. 튼튼한 금속으로 제작되어 긁힐 걱정이 없다.</t>
  </si>
  <si>
    <t>아웃도어 전문 브랜드 &lt;마나슬루&gt;의 로고가 인쇄된 펠트 배지. 부드러운 펠트로 제작되어 방한용품과도 안성맞춤.</t>
  </si>
  <si>
    <t>&lt;모모 프렌즈&gt;의 앵그리 아델리가 그려진 원형 배지. 오랫동안 쳐다보고 있노라면 어쩐지 기분이 나빠진다…….</t>
  </si>
  <si>
    <t>명품 브랜드 &lt;베로니카&gt;의 로고가 자수로 수놓아진 와펜 배지. 어느 기성품 위에 올려놓더라도 고급스러워 보인다.</t>
  </si>
  <si>
    <t>밀리터리 전문 브랜드 &lt;카제야마&gt;의 로고가 인쇄된 벨크로 패치. 뒷면의 벨크로를 이용하여 옷에 쉽게 탈부착시킬 수 있다.</t>
  </si>
  <si>
    <t>고스로리 전문 브랜드 &lt;코코데빌&gt;의 로고가 인쇄된 실버 배지. 뒤편의 옷핀을 사용하여 브로치처럼 착용할 수 있다.</t>
  </si>
  <si>
    <t>스트릿 패션 브랜드, &lt;트리플 스텝&gt;에서 출시한 배지. 자사의 이름을 중앙에 크게 인쇄했다는 점에서, 브랜드를 향한 제작사의 자부심을 엿볼 수 있다.</t>
  </si>
  <si>
    <t>모던 패션 브랜드 &lt;로렐라이&gt;에서 내놓은 드러나는 배지. 단단한 나무에 정교한 수제 가공을 거쳐, 표면이 매끄럽고 좋은 향기가 난다고 한다.</t>
  </si>
  <si>
    <t>해양 스포츠 브랜드 &lt;하르피아&gt;의 로고가 인쇄된 와펜 배지. 부드러운 고무 소재로 제작되어 오염에 강하기 때문에 어느 곳에나 부담 없이 붙여 장식할 수 있다.</t>
  </si>
  <si>
    <t>오락실에서 쓰이던 코인을 모티브로 만들어진 금속 배지. 크기가 제법 크기 때문에 게임기에 넣을 수는 없다.</t>
  </si>
  <si>
    <t>Bag</t>
    <phoneticPr fontId="1" type="noConversion"/>
  </si>
  <si>
    <t>방수 스포츠백</t>
    <phoneticPr fontId="1" type="noConversion"/>
  </si>
  <si>
    <t>방한용 크로스백</t>
    <phoneticPr fontId="1" type="noConversion"/>
  </si>
  <si>
    <t>페로로 백팩</t>
    <phoneticPr fontId="1" type="noConversion"/>
  </si>
  <si>
    <t>감색 스쿨백</t>
    <phoneticPr fontId="1" type="noConversion"/>
  </si>
  <si>
    <t>전술 란도셀</t>
    <phoneticPr fontId="1" type="noConversion"/>
  </si>
  <si>
    <t>데빌 윙 토트백</t>
    <phoneticPr fontId="1" type="noConversion"/>
  </si>
  <si>
    <t>스트릿 백</t>
    <phoneticPr fontId="1" type="noConversion"/>
  </si>
  <si>
    <t>버터플라이 숄더백</t>
    <phoneticPr fontId="1" type="noConversion"/>
  </si>
  <si>
    <t>슬링 드라이백</t>
    <phoneticPr fontId="1" type="noConversion"/>
  </si>
  <si>
    <t>메탈 케이스</t>
    <phoneticPr fontId="1" type="noConversion"/>
  </si>
  <si>
    <t>&lt;서벌&gt;에서 제작된 방수 스포츠백. 물에 젖지 않는 소재로 만들어졌기 때문에 강이나 바다에 가져가도 안심할 수 있다.</t>
  </si>
  <si>
    <t>&lt;마나슬루&gt;에서 제작한 방한용 크로스백. 두터운 안감이 덧대어져 있어 도시락이나 음료 등을 식지않게 보온해준다.</t>
  </si>
  <si>
    <t>거대한 페로로가 인쇄된 백팩. 수납공간이 넓어 페로로 매니아가 아닌 사람들에게도 큰 인기를 끌고 있다.</t>
  </si>
  <si>
    <t>트리니티 학원의 교칙에 맞춰 제작된 감색의 스쿨백. 심플하고 고급스러운 디자인 덕분에 다른 학교의 학생들에게도 인기가 높다.</t>
  </si>
  <si>
    <t>기능성과 수납성을 강화한 카제야마 사의 특제 란도셀. 부무장을 많이 들고 다니는 학생들에게 호평받고 있다.</t>
  </si>
  <si>
    <t>커다란 악마의 날개가 그려진 토트백. 심플한 디자인 덕분에 캐주얼한 복장에도 잘 어울린다.</t>
  </si>
  <si>
    <t>캐주얼한 분위기에 실용성을 더한 스트릿 백. 특유의 넉넉한 수납공간으로, 선호하는 학생들이 제법 있다.</t>
  </si>
  <si>
    <t>커다란 나비가 그려진 숄더백. 가벼운 소재라서 여행을 다닐 때 메고 다녀도 부담이 없다.</t>
  </si>
  <si>
    <t>한쪽 어깨에 걸어 휴대할 수 있는 슬링백 형태의 가방. 방수 소재로 만들어졌기에 물기에 취약한 전자제품 등을 보관하기에 좋다.</t>
  </si>
  <si>
    <t>배터리가 내장된 방탄 합금 재질의 백팩. 소총의 연사 정도는 너끈하게 막아낼 수 있어 전자기기의 보관에 적합하다.</t>
  </si>
  <si>
    <t>Hairpin</t>
    <phoneticPr fontId="1" type="noConversion"/>
  </si>
  <si>
    <t>테니스 헤어밴드</t>
    <phoneticPr fontId="1" type="noConversion"/>
  </si>
  <si>
    <t>헤어 슈슈</t>
    <phoneticPr fontId="1" type="noConversion"/>
  </si>
  <si>
    <t>모모 헤어핀</t>
    <phoneticPr fontId="1" type="noConversion"/>
  </si>
  <si>
    <t>날개 헤어핀</t>
    <phoneticPr fontId="1" type="noConversion"/>
  </si>
  <si>
    <t>다목적 헤어핀</t>
    <phoneticPr fontId="1" type="noConversion"/>
  </si>
  <si>
    <t>박쥐 헤어핀</t>
    <phoneticPr fontId="1" type="noConversion"/>
  </si>
  <si>
    <t>캘리그라피 헤어핀</t>
    <phoneticPr fontId="1" type="noConversion"/>
  </si>
  <si>
    <t>나뭇잎 헤어핀</t>
    <phoneticPr fontId="1" type="noConversion"/>
  </si>
  <si>
    <t>앵커 헤어핀</t>
    <phoneticPr fontId="1" type="noConversion"/>
  </si>
  <si>
    <t>전자파 차단 헤어핀</t>
    <phoneticPr fontId="1" type="noConversion"/>
  </si>
  <si>
    <t>스포츠웨어 브랜드, &lt;서벌&gt;의 테니스 헤어밴드. 운동 중 땀이 흘러내리는 것을 방지할 수 있도록 흡습력이 높은 소재로 만들어졌다.</t>
  </si>
  <si>
    <t>새틴 재질의 탄력성이 좋은 슈슈. 따듯한 국물 음식을 먹을 때는 이 슈슈로 머리를 묶어두는 게 좋다.</t>
  </si>
  <si>
    <t>&lt;모모톡&gt;의 아이콘인 복숭아 모양의 브로치가 달린 헤어핀. 브로치를 문지르면 은은한 복숭아 향이 난다.</t>
  </si>
  <si>
    <t>명품 브랜드 &lt;베로니카&gt;에서 천사의 날개를 모티브로 삼아 제작한 헤어핀. 정작 트리니티 학생들에게는 인기가 없는 편이다.</t>
  </si>
  <si>
    <t>한쪽 끝을 날카롭게 연마하여 유사시에 병따개, 주머니칼 등으로도 활용할 수 있는 다목적 헤어핀. 무심코 머리를 빗다 손을 다칠 수 있으므로 취급에 주의.</t>
  </si>
  <si>
    <t>검은 리본을 닮은 박쥐 모양의 헤어핀. 착용자에게 소악마와 같은 매력을 부여한다.</t>
  </si>
  <si>
    <t>글자로 만들어진 헤어핀. 단어 자체에 큰 의미가 담겨 있지는 않지만, 패션 피플들의 감성을 자극하기에는 충분하다.</t>
  </si>
  <si>
    <t>나뭇잎 형태의 헤어핀. 일상생활에서 쓰기에는 조금 튀어 보일 수 있어도, 기념일에 착용하는 것은 생각보다 잘 어울린다고 한다.</t>
  </si>
  <si>
    <t>두 개의 갈고리가 달린 닻 모양의 헤어핀. 디자인은 예쁘지만, 머리를 묶을 때 갈고리에 머리가 자주 엉켜 실제로 쓰기에는 조금 불편하다고 한다.</t>
  </si>
  <si>
    <t>전자파를 차단해 주어 뇌 건강 증진에 도움을 주는 헤어핀. 물론 이 효능이 정말일지는 아무도 모른다.</t>
  </si>
  <si>
    <t>Necklace</t>
    <phoneticPr fontId="1" type="noConversion"/>
  </si>
  <si>
    <t>블루투스 목걸이</t>
    <phoneticPr fontId="1" type="noConversion"/>
  </si>
  <si>
    <t>눈꽃 펜던트</t>
    <phoneticPr fontId="1" type="noConversion"/>
  </si>
  <si>
    <t>니콜라이 로켓</t>
    <phoneticPr fontId="1" type="noConversion"/>
  </si>
  <si>
    <t>십자가 초커</t>
    <phoneticPr fontId="1" type="noConversion"/>
  </si>
  <si>
    <t>도그택</t>
    <phoneticPr fontId="1" type="noConversion"/>
  </si>
  <si>
    <t>펑크초커</t>
    <phoneticPr fontId="1" type="noConversion"/>
  </si>
  <si>
    <t>체인 목걸이</t>
    <phoneticPr fontId="1" type="noConversion"/>
  </si>
  <si>
    <t>그린리프 목걸이</t>
    <phoneticPr fontId="1" type="noConversion"/>
  </si>
  <si>
    <t>옥토퍼스 홀더</t>
    <phoneticPr fontId="1" type="noConversion"/>
  </si>
  <si>
    <t>메모리 네클리스</t>
    <phoneticPr fontId="1" type="noConversion"/>
  </si>
  <si>
    <t>착용자의 체온이나 심박수 등을 측정할 수 있는 블루투스 목걸이. 운동량을 쉽게 파악할 수 있기 때문에 다이어트를 시도하는 사람들에게는 필수품처럼 애용된다.</t>
  </si>
  <si>
    <t>눈꽃 모양의 장식이 달린 은색의 펜던트. 눈꽃 장식을 오래 쳐다보고 있으면 어쩐지 서늘한 느낌이 든다.</t>
  </si>
  <si>
    <t>&lt;모모 프렌즈&gt;의 캐릭터 Mr.니콜라이의 얼굴이 매달린 로켓. 코 부분을 누르면 사진을 넣을 수 있는 작은 수납 공간이 열린다.</t>
  </si>
  <si>
    <t>명품 브랜드 &lt;베로니카&gt;에서 출시된 십자가 장식이 달린 초커. 심플하지만 세련된 멋이 담긴 아이템으로 인기가 높다.</t>
  </si>
  <si>
    <t>학번과 이름이 새겨진 도그택. 자신을 어필할 수 있는 신상 악세사리로 여고생들 사이에서 큰 인기를 끌고 있다.</t>
  </si>
  <si>
    <t>날카로운 스파이크가 박힌 펑크 스타일 초커. 목에 차면 고개를 끄덕이기 조금 힘들어진다.</t>
  </si>
  <si>
    <t>사슬로 만들어진 목걸이. 찰랑거리는 소리가 기분 좋게 들리기도 하지만, 감촉이 지나치게 차갑다는 의견도 있다.</t>
  </si>
  <si>
    <t>모던 패션 브랜드 &lt;로렐라이&gt;에서 내놓은 목걸이. 이파리가 빛을 받으면 은은한 광택이 난다고 한다.</t>
  </si>
  <si>
    <t>다이버들이 호흡기를 고정하기 위해 사용하는 목걸이 형태의 홀더. &lt;하르피아&gt;의 홀더는 차분한 색과 디자인 덕분에 패션 용도로도 종종 사용되곤 한다.</t>
  </si>
  <si>
    <t>장식물로 위장된 저장장치를 달고 있는 목걸이. 겉보기엔 화려하지만 안에는 어떤 은밀한 것이 담겨 있을지 모른다.</t>
  </si>
  <si>
    <t>Charm</t>
    <phoneticPr fontId="1" type="noConversion"/>
  </si>
  <si>
    <t>교통안전 부적</t>
    <phoneticPr fontId="1" type="noConversion"/>
  </si>
  <si>
    <t>발열팩</t>
    <phoneticPr fontId="1" type="noConversion"/>
  </si>
  <si>
    <t>페로로의 깃털</t>
    <phoneticPr fontId="1" type="noConversion"/>
  </si>
  <si>
    <t>십자가</t>
    <phoneticPr fontId="1" type="noConversion"/>
  </si>
  <si>
    <t>카모 달마</t>
    <phoneticPr fontId="1" type="noConversion"/>
  </si>
  <si>
    <t>저주 인형</t>
    <phoneticPr fontId="1" type="noConversion"/>
  </si>
  <si>
    <t>휴대용 탈취제</t>
    <phoneticPr fontId="1" type="noConversion"/>
  </si>
  <si>
    <t>드림캐쳐 부적</t>
    <phoneticPr fontId="1" type="noConversion"/>
  </si>
  <si>
    <t>상어 이빨 부적</t>
    <phoneticPr fontId="1" type="noConversion"/>
  </si>
  <si>
    <t>키캡 토이</t>
    <phoneticPr fontId="1" type="noConversion"/>
  </si>
  <si>
    <t>교통안전을 기원하는 마음을 담아 만든 부적. 흔들어보면 금속제의 무언가가 안에서 짤랑거리는 소리가 난다.</t>
  </si>
  <si>
    <t>몇 번 주무르고 흔들면 따듯한 온기를 발산하는 손바닥 크기의 발열팩. 혹한의 환경에서 이보다 더 쓸모있는 부적은 없다.</t>
  </si>
  <si>
    <t>커다랗고 하얀 깃털을 달아 만든 부적. 깃털의 출처는 모모 프렌즈의 중대한 영업 기밀이다.</t>
  </si>
  <si>
    <t>트리니티 학생들이 애용하는 십자가 형태의 부적. 가방에 매다는 액세서리로도 잘 어울린다.</t>
  </si>
  <si>
    <t>위장패턴이 그려진 달마 인형. 어떤 장소에 올려놓아도 자연스럽게 배경에 녹아든다.</t>
  </si>
  <si>
    <t>원한 등의 강렬한 감정이 깃들어 있을 것 같은 저주 인형. 핀쿠션으로 쓰기 쉬워서 수예부 학생들에게 인기가 많다.</t>
  </si>
  <si>
    <t>기능성 화장품 제조사, &lt;씨사이드&gt;와의 콜라보레이션으로 제작된 휴대용 탈취제. 디자인이 패셔너블하기 때문에 키링에 걸어 액세서리처럼 달고 다니는 학생들도 많다.</t>
  </si>
  <si>
    <t>악몽을 잡아준다는 주술적인 의미를 가진 물건이다. 냄새를 맡으면 나무 특유의 좋은 향기가 난다.</t>
  </si>
  <si>
    <t>날카로운 상어의 이빨을 엮어 만든 부적. 이 부적을 지니고 있으면 해난 사고를 막아준다는 이야기가 있다.</t>
  </si>
  <si>
    <t>키보드 키캡으로 만든 피젯 토이. 눌러도 아무 일도 벌어지지 않지만, 찰칵거리는 소리가 심신에 안정을 준다.</t>
  </si>
  <si>
    <t>Watch</t>
    <phoneticPr fontId="1" type="noConversion"/>
  </si>
  <si>
    <t>방수 디지털 시계</t>
    <phoneticPr fontId="1" type="noConversion"/>
  </si>
  <si>
    <t>가죽 손목 시계</t>
    <phoneticPr fontId="1" type="noConversion"/>
  </si>
  <si>
    <t>웨이브캣 손목 시계</t>
    <phoneticPr fontId="1" type="noConversion"/>
  </si>
  <si>
    <t>앤티크 회중 시계</t>
    <phoneticPr fontId="1" type="noConversion"/>
  </si>
  <si>
    <t>방진 손목 시계</t>
    <phoneticPr fontId="1" type="noConversion"/>
  </si>
  <si>
    <t>고딕풍 손목 시계</t>
    <phoneticPr fontId="1" type="noConversion"/>
  </si>
  <si>
    <t>스트릿 패션 시계</t>
    <phoneticPr fontId="1" type="noConversion"/>
  </si>
  <si>
    <t>로렐라이 손목 시계</t>
    <phoneticPr fontId="1" type="noConversion"/>
  </si>
  <si>
    <t>다이버 워치</t>
    <phoneticPr fontId="1" type="noConversion"/>
  </si>
  <si>
    <t>스크린 워치</t>
    <phoneticPr fontId="1" type="noConversion"/>
  </si>
  <si>
    <t>스포츠웨어 브랜드 &lt;서벌&gt;에서 제작된 디지털 시계. 방수 사양이기 때문에 수영을 하는 동안 착용하고 있어도 고장날 염려가 없다.</t>
  </si>
  <si>
    <t>아웃도어 브랜드 &lt;마나슬루&gt;에서 제작된 가죽 재질의 손목 시계. 가죽으로 마감된 안감이 손목이 차가워지는 것을 방지한다.</t>
  </si>
  <si>
    <t>&lt;모모 프렌즈&gt;의 고양이 캐릭터 웨이브캣이 그려진 손목 시계. 시간에 맞추어 시계 바늘 역할을 하는 웨이브캣의 양팔이 기괴하게 뒤틀린다.</t>
  </si>
  <si>
    <t>&lt;베로니카&gt;의 로고가 새겨진 앤티크 풍의 회중 시계. 손목시계에 비해 시간을 확인하기 불편하다는 단점이 있지만, 패션 아이템으로 인기가 높다.</t>
  </si>
  <si>
    <t>밀리터리 전문 브랜드 &lt;카제야마&gt;에서 제작된 방진 손목 시계. 방진 기능을 강화하여 거친 환경에서도 고장 걱정 없이 사용할 수 있다.</t>
  </si>
  <si>
    <t>고딕풍으로 디자인된 손목 시계. 클래식한 의상에도 잘 어울리지만, 익숙해지지 않으면 시간을 읽기 어렵다는 단점이 있다.</t>
  </si>
  <si>
    <t>모던하면서도 귀여운 디자인이 호평인 스트릿 패션 시계. &lt;트리플 스탭&gt;은 여기에 팔찌까지 세트로 묶어 판매하는 전략을 사용하고 있다.</t>
  </si>
  <si>
    <t>모던 패션 브랜드 &lt;로렐라이&gt;에서 내놓은 손목 시계. 나무와 가죽의 조합이 독특한 세련미를 풍긴다.</t>
  </si>
  <si>
    <t>해양 스포츠 브랜드 &lt;하르피아&gt;에서 선보인 다이버용 스마트 워치. 방수 기능은 물론이고 깊은 수심에서도 수압 걱정 없이 수중 환경을 체크할 수 있다.</t>
  </si>
  <si>
    <t>터치 스크린이 탑재된 시계. 온갖 게임을 포팅해 구동시킬 수 있지만, 성능은 구동에 의의를 둬야 할 수준이다.</t>
  </si>
  <si>
    <t>MaxStack</t>
    <phoneticPr fontId="1" type="noConversion"/>
  </si>
  <si>
    <t>하급 강화석</t>
    <phoneticPr fontId="1" type="noConversion"/>
  </si>
  <si>
    <t>1~3레벨 무기 강화 재료</t>
    <phoneticPr fontId="1" type="noConversion"/>
  </si>
  <si>
    <t>Icon_WeaponUpgradeStone_Tier1</t>
    <phoneticPr fontId="1" type="noConversion"/>
  </si>
  <si>
    <t>4~7레벨 무기 강화 재료</t>
    <phoneticPr fontId="1" type="noConversion"/>
  </si>
  <si>
    <t>8~10레벨 무기 강화 재료</t>
    <phoneticPr fontId="1" type="noConversion"/>
  </si>
  <si>
    <t>Icon_WeaponUpgradeStone_Tier2</t>
    <phoneticPr fontId="1" type="noConversion"/>
  </si>
  <si>
    <t>Icon_WeaponUpgradeStone_Tier3</t>
    <phoneticPr fontId="1" type="noConversion"/>
  </si>
  <si>
    <t>중급 강화석</t>
    <phoneticPr fontId="1" type="noConversion"/>
  </si>
  <si>
    <t>상급 강화석</t>
    <phoneticPr fontId="1" type="noConversion"/>
  </si>
  <si>
    <t>EffectValue</t>
    <phoneticPr fontId="1" type="noConversion"/>
  </si>
  <si>
    <t>Duration</t>
    <phoneticPr fontId="1" type="noConversion"/>
  </si>
  <si>
    <t>Icon_Portion_HP</t>
    <phoneticPr fontId="1" type="noConversion"/>
  </si>
  <si>
    <t>HP를 50 회복</t>
    <phoneticPr fontId="1" type="noConversion"/>
  </si>
  <si>
    <t>HP 회복 포션</t>
    <phoneticPr fontId="1" type="noConversion"/>
  </si>
  <si>
    <t xml:space="preserve">Grade  </t>
    <phoneticPr fontId="1" type="noConversion"/>
  </si>
  <si>
    <t>Grade</t>
    <phoneticPr fontId="1" type="noConversion"/>
  </si>
  <si>
    <t>Common</t>
    <phoneticPr fontId="1" type="noConversion"/>
  </si>
  <si>
    <t>Uncommon</t>
    <phoneticPr fontId="1" type="noConversion"/>
  </si>
  <si>
    <t>Rare</t>
    <phoneticPr fontId="1" type="noConversion"/>
  </si>
  <si>
    <t>Gloves</t>
    <phoneticPr fontId="1" type="noConversion"/>
  </si>
  <si>
    <t>PoolID</t>
  </si>
  <si>
    <t>StatType</t>
  </si>
  <si>
    <t>Weight</t>
  </si>
  <si>
    <t>BaseValue</t>
  </si>
  <si>
    <t>Note</t>
  </si>
  <si>
    <t>MaxHP_Flat</t>
  </si>
  <si>
    <t>Attack_Flat</t>
  </si>
  <si>
    <t>MaxHP_Percent</t>
  </si>
  <si>
    <t>Attack_Percent</t>
  </si>
  <si>
    <t>Defense_Percent</t>
  </si>
  <si>
    <t>CritRate</t>
  </si>
  <si>
    <t>CritDamage</t>
  </si>
  <si>
    <t>[Tier1 SubStat] 서브스탯 풀</t>
  </si>
  <si>
    <t>Defense_Flat</t>
  </si>
  <si>
    <t>MoveSpeed</t>
  </si>
  <si>
    <t>[Tier2 SubStat] 서브스탯 풀</t>
  </si>
  <si>
    <t>[Tier3 SubStat] 서브스탯 풀</t>
  </si>
  <si>
    <t>[Tier4 SubStat] 서브스탯 풀</t>
  </si>
  <si>
    <t>[Tier5 SubStat] 서브스탯 풀</t>
  </si>
  <si>
    <t>[Tier6 SubStat] 서브스탯 풀</t>
  </si>
  <si>
    <t>[Tier7 SubStat] 서브스탯 풀</t>
  </si>
  <si>
    <t>[Tier8 SubStat] 서브스탯 풀</t>
  </si>
  <si>
    <t>[Tier9 SubStat] 서브스탯 풀</t>
  </si>
  <si>
    <t>[Tier10 SubStat] 서브스탯 풀</t>
  </si>
  <si>
    <t>[Tier1 Charm/Hat] 깡체력 고정</t>
  </si>
  <si>
    <t>[Tier1 Gloves] 깡공격 고정</t>
  </si>
  <si>
    <t>[Tier1 General Random] 일반 랜덤 메인</t>
  </si>
  <si>
    <t>[Tier1 Watch Random] 시계 전용 메인 (에너지 5%)</t>
  </si>
  <si>
    <t>EnergyRegen</t>
  </si>
  <si>
    <t>[Tier2 Charm/Hat] 깡체력 고정</t>
  </si>
  <si>
    <t>[Tier2 Gloves] 깡공격 고정</t>
  </si>
  <si>
    <t>[Tier2 General Random] 일반 랜덤 메인</t>
  </si>
  <si>
    <t>[Tier2 Watch Random] 시계 전용 메인 (에너지 5%)</t>
  </si>
  <si>
    <t>[Tier3 Charm/Hat] 깡체력 고정</t>
  </si>
  <si>
    <t>[Tier3 Gloves] 깡공격 고정</t>
  </si>
  <si>
    <t>[Tier3 General Random] 일반 랜덤 메인</t>
  </si>
  <si>
    <t>[Tier3 Watch Random] 시계 전용 메인 (에너지 5%)</t>
  </si>
  <si>
    <t>[Tier4 Charm/Hat] 깡체력 고정</t>
  </si>
  <si>
    <t>[Tier4 Gloves] 깡공격 고정</t>
  </si>
  <si>
    <t>[Tier4 General Random] 일반 랜덤 메인</t>
  </si>
  <si>
    <t>[Tier4 Watch Random] 시계 전용 메인 (에너지 5%)</t>
  </si>
  <si>
    <t>[Tier5 Charm/Hat] 깡체력 고정</t>
  </si>
  <si>
    <t>[Tier5 Gloves] 깡공격 고정</t>
  </si>
  <si>
    <t>[Tier5 General Random] 일반 랜덤 메인</t>
  </si>
  <si>
    <t>[Tier5 Watch Random] 시계 전용 메인 (에너지 5%)</t>
  </si>
  <si>
    <t>[Tier6 Charm/Hat] 깡체력 고정</t>
  </si>
  <si>
    <t>[Tier6 Gloves] 깡공격 고정</t>
  </si>
  <si>
    <t>[Tier6 General Random] 일반 랜덤 메인</t>
  </si>
  <si>
    <t>[Tier6 Watch Random] 시계 전용 메인 (에너지 5%)</t>
  </si>
  <si>
    <t>[Tier7 Charm/Hat] 깡체력 고정</t>
  </si>
  <si>
    <t>[Tier7 Gloves] 깡공격 고정</t>
  </si>
  <si>
    <t>[Tier7 General Random] 일반 랜덤 메인</t>
  </si>
  <si>
    <t>[Tier7 Watch Random] 시계 전용 메인 (에너지 5%)</t>
  </si>
  <si>
    <t>[Tier8 Charm/Hat] 깡체력 고정</t>
  </si>
  <si>
    <t>[Tier8 Gloves] 깡공격 고정</t>
  </si>
  <si>
    <t>[Tier8 General Random] 일반 랜덤 메인</t>
  </si>
  <si>
    <t>[Tier8 Watch Random] 시계 전용 메인 (에너지 5%)</t>
  </si>
  <si>
    <t>[Tier9 Charm/Hat] 깡체력 고정</t>
  </si>
  <si>
    <t>[Tier9 Gloves] 깡공격 고정</t>
  </si>
  <si>
    <t>[Tier9 General Random] 일반 랜덤 메인</t>
  </si>
  <si>
    <t>[Tier9 Watch Random] 시계 전용 메인 (에너지 5%)</t>
  </si>
  <si>
    <t>[Tier10 Charm/Hat] 깡체력 고정</t>
  </si>
  <si>
    <t>[Tier10 Gloves] 깡공격 고정</t>
  </si>
  <si>
    <t>[Tier10 General Random] 일반 랜덤 메인</t>
  </si>
  <si>
    <t>[Tier10 Watch Random] 시계 전용 메인 (에너지 5%)</t>
  </si>
  <si>
    <t>MainStatPoolID</t>
    <phoneticPr fontId="1" type="noConversion"/>
  </si>
  <si>
    <t>SubStatPoolID</t>
    <phoneticPr fontId="1" type="noConversion"/>
  </si>
  <si>
    <t>PartCode</t>
    <phoneticPr fontId="1" type="noConversion"/>
  </si>
  <si>
    <t>Note</t>
    <phoneticPr fontId="1" type="noConversion"/>
  </si>
  <si>
    <t>Hat</t>
  </si>
  <si>
    <t>Tier X Hat (X101)</t>
  </si>
  <si>
    <t>Charm</t>
  </si>
  <si>
    <t>Tier X Charm (X101)</t>
  </si>
  <si>
    <t>Gloves</t>
  </si>
  <si>
    <t>Tier X Gloves (X102)</t>
  </si>
  <si>
    <t>Tier X General (X103)</t>
  </si>
  <si>
    <t>Shoes</t>
  </si>
  <si>
    <t>Bag</t>
  </si>
  <si>
    <t>Badge</t>
  </si>
  <si>
    <t>Hairpin</t>
  </si>
  <si>
    <t>Watch</t>
  </si>
  <si>
    <t>Tier X Watch (X104)</t>
  </si>
  <si>
    <t>[Tier1 SubStat]</t>
  </si>
  <si>
    <t>[Tier2 SubStat]</t>
  </si>
  <si>
    <t>[Tier3 SubStat]</t>
  </si>
  <si>
    <t>[Tier4 SubStat]</t>
  </si>
  <si>
    <t>[Tier5 SubStat]</t>
  </si>
  <si>
    <t>[Tier6 SubStat]</t>
  </si>
  <si>
    <t>[Tier7 SubStat]</t>
  </si>
  <si>
    <t>[Tier8 SubStat]</t>
  </si>
  <si>
    <t>[Tier9 SubStat]</t>
  </si>
  <si>
    <t>[Tier10 SubStat]</t>
  </si>
  <si>
    <t>Level</t>
    <phoneticPr fontId="1" type="noConversion"/>
  </si>
  <si>
    <t>RequireExp</t>
    <phoneticPr fontId="1" type="noConversion"/>
  </si>
  <si>
    <t>Icon_EquipmentUpgradeBook_Tier1</t>
    <phoneticPr fontId="1" type="noConversion"/>
  </si>
  <si>
    <t>Icon_EquipmentUpgradeBook_Tier3</t>
    <phoneticPr fontId="1" type="noConversion"/>
  </si>
  <si>
    <t>Icon_EquipmentUpgradeBook_Tier2</t>
    <phoneticPr fontId="1" type="noConversion"/>
  </si>
  <si>
    <t>전술 장비 강화 재료</t>
    <phoneticPr fontId="1" type="noConversion"/>
  </si>
  <si>
    <t>Mat1_ID</t>
    <phoneticPr fontId="1" type="noConversion"/>
  </si>
  <si>
    <t>Mat1_Count</t>
    <phoneticPr fontId="1" type="noConversion"/>
  </si>
  <si>
    <t>Mat3_Count</t>
    <phoneticPr fontId="1" type="noConversion"/>
  </si>
  <si>
    <t>Mat3_ID</t>
    <phoneticPr fontId="1" type="noConversion"/>
  </si>
  <si>
    <t>Mat2_Count</t>
    <phoneticPr fontId="1" type="noConversion"/>
  </si>
  <si>
    <t>Mat2_ID</t>
    <phoneticPr fontId="1" type="noConversion"/>
  </si>
  <si>
    <t>ExpValue</t>
    <phoneticPr fontId="1" type="noConversion"/>
  </si>
  <si>
    <t xml:space="preserve">소형 전술 매뉴얼	</t>
    <phoneticPr fontId="1" type="noConversion"/>
  </si>
  <si>
    <t xml:space="preserve">중형 전술 매뉴얼	</t>
    <phoneticPr fontId="1" type="noConversion"/>
  </si>
  <si>
    <t xml:space="preserve">대형 전술 매뉴얼	</t>
    <phoneticPr fontId="1" type="noConversion"/>
  </si>
  <si>
    <t>Mat_ID</t>
    <phoneticPr fontId="1" type="noConversion"/>
  </si>
  <si>
    <t>EnhancementCost</t>
    <phoneticPr fontId="1" type="noConversion"/>
  </si>
  <si>
    <t>MaxLevel</t>
    <phoneticPr fontId="1" type="noConversion"/>
  </si>
  <si>
    <t>InitialSubStatCount</t>
    <phoneticPr fontId="1" type="noConversion"/>
  </si>
  <si>
    <t>Common</t>
  </si>
  <si>
    <t>Uncommon</t>
  </si>
  <si>
    <t>Rare</t>
  </si>
  <si>
    <t>Epic</t>
  </si>
  <si>
    <t>Legendary</t>
  </si>
  <si>
    <t>Mythic</t>
  </si>
  <si>
    <t>UpgradeMinValue</t>
  </si>
  <si>
    <t>UpgradeMaxValue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</si>
</sst>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B7A7-E3CC-4169-944D-8712D18417BF}">
  <dimension ref="A1:M91"/>
  <sheetViews>
    <sheetView zoomScaleNormal="100" workbookViewId="0">
      <selection activeCell="C11" activeCellId="5" sqref="C2 C4 C6 C8 C10 C11"/>
    </sheetView>
  </sheetViews>
  <sheetFormatPr defaultRowHeight="16.5" x14ac:dyDescent="0.3"/>
  <cols>
    <col min="1" max="1" width="13.125" customWidth="1"/>
    <col min="2" max="2" width="32.75" customWidth="1"/>
    <col min="3" max="3" width="17.25" customWidth="1"/>
    <col min="4" max="4" width="31.875" customWidth="1"/>
    <col min="5" max="5" width="13.625" customWidth="1"/>
    <col min="7" max="7" width="22.375" customWidth="1"/>
    <col min="8" max="8" width="24.75" customWidth="1"/>
    <col min="9" max="9" width="28.125" customWidth="1"/>
    <col min="12" max="12" width="12.75" customWidth="1"/>
    <col min="13" max="13" width="28.125" customWidth="1"/>
  </cols>
  <sheetData>
    <row r="1" spans="1:13" x14ac:dyDescent="0.3">
      <c r="A1" s="1" t="s">
        <v>0</v>
      </c>
      <c r="B1" s="1" t="s">
        <v>36</v>
      </c>
      <c r="C1" s="1" t="s">
        <v>209</v>
      </c>
      <c r="D1" s="1" t="s">
        <v>1</v>
      </c>
      <c r="E1" s="1" t="s">
        <v>35</v>
      </c>
      <c r="F1" s="1" t="s">
        <v>3</v>
      </c>
      <c r="G1" s="1" t="s">
        <v>280</v>
      </c>
      <c r="H1" s="1" t="s">
        <v>281</v>
      </c>
      <c r="I1" s="1" t="s">
        <v>2</v>
      </c>
      <c r="J1" s="1"/>
      <c r="K1" s="1"/>
      <c r="L1" s="1"/>
      <c r="M1" s="1"/>
    </row>
    <row r="2" spans="1:13" x14ac:dyDescent="0.3">
      <c r="A2" s="1">
        <v>10000</v>
      </c>
      <c r="B2" s="1" t="str">
        <f>"Equipment_Icon_" &amp; E2 &amp; "_" &amp; "Tier" &amp; F2</f>
        <v>Equipment_Icon_Hat_Tier1</v>
      </c>
      <c r="C2" s="1" t="str" cm="1">
        <f t="array" ref="C2">_xlfn.IFS(F2&lt;=2, "Common", F2&lt;=4, "Uncommon", F2&lt;=6, "Rare", F2&lt;=8, "Epic", F2=9, "Legendary", F2&gt;=10, "Mythic")</f>
        <v>Common</v>
      </c>
      <c r="D2" s="1" t="s">
        <v>4</v>
      </c>
      <c r="E2" s="1" t="s">
        <v>14</v>
      </c>
      <c r="F2" s="1">
        <v>1</v>
      </c>
      <c r="G2" s="1">
        <f>1000+(F2*100)+VLOOKUP(E2,EquipPartMapping!$A:$B,2,FALSE)</f>
        <v>1101</v>
      </c>
      <c r="H2" s="1">
        <f>VLOOKUP(F2,TierMapping!$A:$B,2,FALSE)</f>
        <v>2101</v>
      </c>
      <c r="I2" t="s">
        <v>15</v>
      </c>
      <c r="J2" s="1"/>
      <c r="K2" s="1"/>
      <c r="L2" s="1"/>
    </row>
    <row r="3" spans="1:13" x14ac:dyDescent="0.3">
      <c r="A3" s="1">
        <v>10001</v>
      </c>
      <c r="B3" s="1" t="str">
        <f t="shared" ref="B3:B66" si="0">"Equipment_Icon_" &amp; E3 &amp; "_" &amp; "Tier" &amp; F3</f>
        <v>Equipment_Icon_Hat_Tier2</v>
      </c>
      <c r="C3" s="1" t="str" cm="1">
        <f t="array" ref="C3">_xlfn.IFS(F3&lt;=2, "Common", F3&lt;=4, "Uncommon", F3&lt;=6, "Rare", F3&lt;=8, "Epic", F3=9, "Legendary", F3&gt;=10, "Mythic")</f>
        <v>Common</v>
      </c>
      <c r="D3" s="1" t="s">
        <v>5</v>
      </c>
      <c r="E3" s="1" t="s">
        <v>14</v>
      </c>
      <c r="F3" s="1">
        <v>2</v>
      </c>
      <c r="G3" s="1">
        <f>1000+(F3*100)+VLOOKUP(E3,EquipPartMapping!$A:$B,2,FALSE)</f>
        <v>1201</v>
      </c>
      <c r="H3" s="1">
        <f>VLOOKUP(F3,TierMapping!$A:$B,2,FALSE)</f>
        <v>2201</v>
      </c>
      <c r="I3" t="s">
        <v>16</v>
      </c>
      <c r="J3" s="1"/>
      <c r="K3" s="1"/>
      <c r="L3" s="1"/>
    </row>
    <row r="4" spans="1:13" x14ac:dyDescent="0.3">
      <c r="A4" s="1">
        <v>10002</v>
      </c>
      <c r="B4" s="1" t="str">
        <f t="shared" si="0"/>
        <v>Equipment_Icon_Hat_Tier3</v>
      </c>
      <c r="C4" s="1" t="str" cm="1">
        <f t="array" ref="C4">_xlfn.IFS(F4&lt;=2, "Common", F4&lt;=4, "Uncommon", F4&lt;=6, "Rare", F4&lt;=8, "Epic", F4=9, "Legendary", F4&gt;=10, "Mythic")</f>
        <v>Uncommon</v>
      </c>
      <c r="D4" s="1" t="s">
        <v>6</v>
      </c>
      <c r="E4" s="1" t="s">
        <v>14</v>
      </c>
      <c r="F4" s="1">
        <v>3</v>
      </c>
      <c r="G4" s="1">
        <f>1000+(F4*100)+VLOOKUP(E4,EquipPartMapping!$A:$B,2,FALSE)</f>
        <v>1301</v>
      </c>
      <c r="H4" s="1">
        <f>VLOOKUP(F4,TierMapping!$A:$B,2,FALSE)</f>
        <v>2301</v>
      </c>
      <c r="I4" t="s">
        <v>17</v>
      </c>
      <c r="J4" s="1"/>
      <c r="K4" s="1"/>
      <c r="L4" s="1"/>
    </row>
    <row r="5" spans="1:13" x14ac:dyDescent="0.3">
      <c r="A5" s="1">
        <v>10003</v>
      </c>
      <c r="B5" s="1" t="str">
        <f t="shared" si="0"/>
        <v>Equipment_Icon_Hat_Tier4</v>
      </c>
      <c r="C5" s="1" t="str" cm="1">
        <f t="array" ref="C5">_xlfn.IFS(F5&lt;=2, "Common", F5&lt;=4, "Uncommon", F5&lt;=6, "Rare", F5&lt;=8, "Epic", F5=9, "Legendary", F5&gt;=10, "Mythic")</f>
        <v>Uncommon</v>
      </c>
      <c r="D5" s="1" t="s">
        <v>7</v>
      </c>
      <c r="E5" s="1" t="s">
        <v>14</v>
      </c>
      <c r="F5" s="1">
        <v>4</v>
      </c>
      <c r="G5" s="1">
        <f>1000+(F5*100)+VLOOKUP(E5,EquipPartMapping!$A:$B,2,FALSE)</f>
        <v>1401</v>
      </c>
      <c r="H5" s="1">
        <f>VLOOKUP(F5,TierMapping!$A:$B,2,FALSE)</f>
        <v>2401</v>
      </c>
      <c r="I5" t="s">
        <v>23</v>
      </c>
      <c r="J5" s="1"/>
      <c r="K5" s="1"/>
      <c r="L5" s="1"/>
    </row>
    <row r="6" spans="1:13" x14ac:dyDescent="0.3">
      <c r="A6" s="1">
        <v>10004</v>
      </c>
      <c r="B6" s="1" t="str">
        <f t="shared" si="0"/>
        <v>Equipment_Icon_Hat_Tier5</v>
      </c>
      <c r="C6" s="1" t="str" cm="1">
        <f t="array" ref="C6">_xlfn.IFS(F6&lt;=2, "Common", F6&lt;=4, "Uncommon", F6&lt;=6, "Rare", F6&lt;=8, "Epic", F6=9, "Legendary", F6&gt;=10, "Mythic")</f>
        <v>Rare</v>
      </c>
      <c r="D6" s="1" t="s">
        <v>8</v>
      </c>
      <c r="E6" s="1" t="s">
        <v>14</v>
      </c>
      <c r="F6" s="1">
        <v>5</v>
      </c>
      <c r="G6" s="1">
        <f>1000+(F6*100)+VLOOKUP(E6,EquipPartMapping!$A:$B,2,FALSE)</f>
        <v>1501</v>
      </c>
      <c r="H6" s="1">
        <f>VLOOKUP(F6,TierMapping!$A:$B,2,FALSE)</f>
        <v>2501</v>
      </c>
      <c r="I6" t="s">
        <v>18</v>
      </c>
      <c r="J6" s="1"/>
      <c r="K6" s="1"/>
      <c r="L6" s="1"/>
    </row>
    <row r="7" spans="1:13" x14ac:dyDescent="0.3">
      <c r="A7" s="1">
        <v>10005</v>
      </c>
      <c r="B7" s="1" t="str">
        <f t="shared" si="0"/>
        <v>Equipment_Icon_Hat_Tier6</v>
      </c>
      <c r="C7" s="1" t="str" cm="1">
        <f t="array" ref="C7">_xlfn.IFS(F7&lt;=2, "Common", F7&lt;=4, "Uncommon", F7&lt;=6, "Rare", F7&lt;=8, "Epic", F7=9, "Legendary", F7&gt;=10, "Mythic")</f>
        <v>Rare</v>
      </c>
      <c r="D7" s="1" t="s">
        <v>9</v>
      </c>
      <c r="E7" s="1" t="s">
        <v>14</v>
      </c>
      <c r="F7" s="1">
        <v>6</v>
      </c>
      <c r="G7" s="1">
        <f>1000+(F7*100)+VLOOKUP(E7,EquipPartMapping!$A:$B,2,FALSE)</f>
        <v>1601</v>
      </c>
      <c r="H7" s="1">
        <f>VLOOKUP(F7,TierMapping!$A:$B,2,FALSE)</f>
        <v>2601</v>
      </c>
      <c r="I7" t="s">
        <v>19</v>
      </c>
      <c r="J7" s="1"/>
      <c r="K7" s="1"/>
      <c r="L7" s="1"/>
    </row>
    <row r="8" spans="1:13" x14ac:dyDescent="0.3">
      <c r="A8" s="1">
        <v>10006</v>
      </c>
      <c r="B8" s="1" t="str">
        <f t="shared" si="0"/>
        <v>Equipment_Icon_Hat_Tier7</v>
      </c>
      <c r="C8" s="1" t="str" cm="1">
        <f t="array" ref="C8">_xlfn.IFS(F8&lt;=2, "Common", F8&lt;=4, "Uncommon", F8&lt;=6, "Rare", F8&lt;=8, "Epic", F8=9, "Legendary", F8&gt;=10, "Mythic")</f>
        <v>Epic</v>
      </c>
      <c r="D8" s="1" t="s">
        <v>10</v>
      </c>
      <c r="E8" s="1" t="s">
        <v>14</v>
      </c>
      <c r="F8" s="1">
        <v>7</v>
      </c>
      <c r="G8" s="1">
        <f>1000+(F8*100)+VLOOKUP(E8,EquipPartMapping!$A:$B,2,FALSE)</f>
        <v>1701</v>
      </c>
      <c r="H8" s="1">
        <f>VLOOKUP(F8,TierMapping!$A:$B,2,FALSE)</f>
        <v>2701</v>
      </c>
      <c r="I8" t="s">
        <v>20</v>
      </c>
      <c r="J8" s="1"/>
      <c r="K8" s="1"/>
      <c r="L8" s="1"/>
    </row>
    <row r="9" spans="1:13" x14ac:dyDescent="0.3">
      <c r="A9" s="1">
        <v>10007</v>
      </c>
      <c r="B9" s="1" t="str">
        <f t="shared" si="0"/>
        <v>Equipment_Icon_Hat_Tier8</v>
      </c>
      <c r="C9" s="1" t="str" cm="1">
        <f t="array" ref="C9">_xlfn.IFS(F9&lt;=2, "Common", F9&lt;=4, "Uncommon", F9&lt;=6, "Rare", F9&lt;=8, "Epic", F9=9, "Legendary", F9&gt;=10, "Mythic")</f>
        <v>Epic</v>
      </c>
      <c r="D9" s="1" t="s">
        <v>11</v>
      </c>
      <c r="E9" s="1" t="s">
        <v>14</v>
      </c>
      <c r="F9" s="1">
        <v>8</v>
      </c>
      <c r="G9" s="1">
        <f>1000+(F9*100)+VLOOKUP(E9,EquipPartMapping!$A:$B,2,FALSE)</f>
        <v>1801</v>
      </c>
      <c r="H9" s="1">
        <f>VLOOKUP(F9,TierMapping!$A:$B,2,FALSE)</f>
        <v>2801</v>
      </c>
      <c r="I9" t="s">
        <v>21</v>
      </c>
      <c r="J9" s="1"/>
      <c r="K9" s="1"/>
      <c r="L9" s="1"/>
    </row>
    <row r="10" spans="1:13" x14ac:dyDescent="0.3">
      <c r="A10" s="1">
        <v>10008</v>
      </c>
      <c r="B10" s="1" t="str">
        <f t="shared" si="0"/>
        <v>Equipment_Icon_Hat_Tier9</v>
      </c>
      <c r="C10" s="1" t="str" cm="1">
        <f t="array" ref="C10">_xlfn.IFS(F10&lt;=2, "Common", F10&lt;=4, "Uncommon", F10&lt;=6, "Rare", F10&lt;=8, "Epic", F10=9, "Legendary", F10&gt;=10, "Mythic")</f>
        <v>Legendary</v>
      </c>
      <c r="D10" s="1" t="s">
        <v>12</v>
      </c>
      <c r="E10" s="1" t="s">
        <v>14</v>
      </c>
      <c r="F10" s="1">
        <v>9</v>
      </c>
      <c r="G10" s="1">
        <f>1000+(F10*100)+VLOOKUP(E10,EquipPartMapping!$A:$B,2,FALSE)</f>
        <v>1901</v>
      </c>
      <c r="H10" s="1">
        <f>VLOOKUP(F10,TierMapping!$A:$B,2,FALSE)</f>
        <v>2901</v>
      </c>
      <c r="I10" t="s">
        <v>24</v>
      </c>
      <c r="J10" s="1"/>
      <c r="K10" s="1"/>
      <c r="L10" s="1"/>
    </row>
    <row r="11" spans="1:13" x14ac:dyDescent="0.3">
      <c r="A11" s="1">
        <v>10009</v>
      </c>
      <c r="B11" s="1" t="str">
        <f t="shared" si="0"/>
        <v>Equipment_Icon_Hat_Tier10</v>
      </c>
      <c r="C11" s="1" t="str" cm="1">
        <f t="array" ref="C11">_xlfn.IFS(F11&lt;=2, "Common", F11&lt;=4, "Uncommon", F11&lt;=6, "Rare", F11&lt;=8, "Epic", F11=9, "Legendary", F11&gt;=10, "Mythic")</f>
        <v>Mythic</v>
      </c>
      <c r="D11" s="1" t="s">
        <v>13</v>
      </c>
      <c r="E11" s="1" t="s">
        <v>14</v>
      </c>
      <c r="F11" s="1">
        <v>10</v>
      </c>
      <c r="G11" s="1">
        <f>1000+(F11*100)+VLOOKUP(E11,EquipPartMapping!$A:$B,2,FALSE)</f>
        <v>2001</v>
      </c>
      <c r="H11" s="1">
        <f>VLOOKUP(F11,TierMapping!$A:$B,2,FALSE)</f>
        <v>3001</v>
      </c>
      <c r="I11" t="s">
        <v>22</v>
      </c>
      <c r="J11" s="1"/>
      <c r="K11" s="1"/>
      <c r="L11" s="1"/>
    </row>
    <row r="12" spans="1:13" x14ac:dyDescent="0.3">
      <c r="A12" s="1">
        <v>10010</v>
      </c>
      <c r="B12" s="1" t="str">
        <f t="shared" si="0"/>
        <v>Equipment_Icon_Gloves_Tier1</v>
      </c>
      <c r="C12" s="1" t="str" cm="1">
        <f t="array" ref="C12">_xlfn.IFS(F12&lt;=2, "Common", F12&lt;=4, "Uncommon", F12&lt;=6, "Rare", F12&lt;=8, "Epic", F12=9, "Legendary", F12&gt;=10, "Mythic")</f>
        <v>Common</v>
      </c>
      <c r="D12" s="1" t="s">
        <v>25</v>
      </c>
      <c r="E12" s="1" t="s">
        <v>214</v>
      </c>
      <c r="F12" s="1">
        <v>1</v>
      </c>
      <c r="G12" s="1">
        <f>1000+(F12*100)+VLOOKUP(E12,EquipPartMapping!$A:$B,2,FALSE)</f>
        <v>1102</v>
      </c>
      <c r="H12" s="1">
        <f>VLOOKUP(F12,TierMapping!$A:$B,2,FALSE)</f>
        <v>2101</v>
      </c>
      <c r="I12" t="s">
        <v>37</v>
      </c>
      <c r="J12" s="1"/>
      <c r="K12" s="1"/>
      <c r="L12" s="1"/>
    </row>
    <row r="13" spans="1:13" x14ac:dyDescent="0.3">
      <c r="A13" s="1">
        <v>10011</v>
      </c>
      <c r="B13" s="1" t="str">
        <f t="shared" si="0"/>
        <v>Equipment_Icon_Gloves_Tier2</v>
      </c>
      <c r="C13" s="1" t="str" cm="1">
        <f t="array" ref="C13">_xlfn.IFS(F13&lt;=2, "Common", F13&lt;=4, "Uncommon", F13&lt;=6, "Rare", F13&lt;=8, "Epic", F13=9, "Legendary", F13&gt;=10, "Mythic")</f>
        <v>Common</v>
      </c>
      <c r="D13" s="1" t="s">
        <v>26</v>
      </c>
      <c r="E13" s="1" t="s">
        <v>214</v>
      </c>
      <c r="F13" s="1">
        <v>2</v>
      </c>
      <c r="G13" s="1">
        <f>1000+(F13*100)+VLOOKUP(E13,EquipPartMapping!$A:$B,2,FALSE)</f>
        <v>1202</v>
      </c>
      <c r="H13" s="1">
        <f>VLOOKUP(F13,TierMapping!$A:$B,2,FALSE)</f>
        <v>2201</v>
      </c>
      <c r="I13" t="s">
        <v>38</v>
      </c>
      <c r="J13" s="1"/>
      <c r="K13" s="1"/>
      <c r="L13" s="1"/>
    </row>
    <row r="14" spans="1:13" x14ac:dyDescent="0.3">
      <c r="A14" s="1">
        <v>10012</v>
      </c>
      <c r="B14" s="1" t="str">
        <f t="shared" si="0"/>
        <v>Equipment_Icon_Gloves_Tier3</v>
      </c>
      <c r="C14" s="1" t="str" cm="1">
        <f t="array" ref="C14">_xlfn.IFS(F14&lt;=2, "Common", F14&lt;=4, "Uncommon", F14&lt;=6, "Rare", F14&lt;=8, "Epic", F14=9, "Legendary", F14&gt;=10, "Mythic")</f>
        <v>Uncommon</v>
      </c>
      <c r="D14" s="1" t="s">
        <v>27</v>
      </c>
      <c r="E14" s="1" t="s">
        <v>214</v>
      </c>
      <c r="F14" s="1">
        <v>3</v>
      </c>
      <c r="G14" s="1">
        <f>1000+(F14*100)+VLOOKUP(E14,EquipPartMapping!$A:$B,2,FALSE)</f>
        <v>1302</v>
      </c>
      <c r="H14" s="1">
        <f>VLOOKUP(F14,TierMapping!$A:$B,2,FALSE)</f>
        <v>2301</v>
      </c>
      <c r="I14" t="s">
        <v>39</v>
      </c>
      <c r="J14" s="1"/>
      <c r="K14" s="1"/>
      <c r="L14" s="1"/>
    </row>
    <row r="15" spans="1:13" x14ac:dyDescent="0.3">
      <c r="A15" s="1">
        <v>10013</v>
      </c>
      <c r="B15" s="1" t="str">
        <f t="shared" si="0"/>
        <v>Equipment_Icon_Gloves_Tier4</v>
      </c>
      <c r="C15" s="1" t="str" cm="1">
        <f t="array" ref="C15">_xlfn.IFS(F15&lt;=2, "Common", F15&lt;=4, "Uncommon", F15&lt;=6, "Rare", F15&lt;=8, "Epic", F15=9, "Legendary", F15&gt;=10, "Mythic")</f>
        <v>Uncommon</v>
      </c>
      <c r="D15" s="1" t="s">
        <v>28</v>
      </c>
      <c r="E15" s="1" t="s">
        <v>214</v>
      </c>
      <c r="F15" s="1">
        <v>4</v>
      </c>
      <c r="G15" s="1">
        <f>1000+(F15*100)+VLOOKUP(E15,EquipPartMapping!$A:$B,2,FALSE)</f>
        <v>1402</v>
      </c>
      <c r="H15" s="1">
        <f>VLOOKUP(F15,TierMapping!$A:$B,2,FALSE)</f>
        <v>2401</v>
      </c>
      <c r="I15" t="s">
        <v>40</v>
      </c>
      <c r="J15" s="1"/>
      <c r="K15" s="1"/>
      <c r="L15" s="1"/>
    </row>
    <row r="16" spans="1:13" x14ac:dyDescent="0.3">
      <c r="A16" s="1">
        <v>10014</v>
      </c>
      <c r="B16" s="1" t="str">
        <f t="shared" si="0"/>
        <v>Equipment_Icon_Gloves_Tier5</v>
      </c>
      <c r="C16" s="1" t="str" cm="1">
        <f t="array" ref="C16">_xlfn.IFS(F16&lt;=2, "Common", F16&lt;=4, "Uncommon", F16&lt;=6, "Rare", F16&lt;=8, "Epic", F16=9, "Legendary", F16&gt;=10, "Mythic")</f>
        <v>Rare</v>
      </c>
      <c r="D16" s="1" t="s">
        <v>29</v>
      </c>
      <c r="E16" s="1" t="s">
        <v>214</v>
      </c>
      <c r="F16" s="1">
        <v>5</v>
      </c>
      <c r="G16" s="1">
        <f>1000+(F16*100)+VLOOKUP(E16,EquipPartMapping!$A:$B,2,FALSE)</f>
        <v>1502</v>
      </c>
      <c r="H16" s="1">
        <f>VLOOKUP(F16,TierMapping!$A:$B,2,FALSE)</f>
        <v>2501</v>
      </c>
      <c r="I16" t="s">
        <v>41</v>
      </c>
      <c r="J16" s="1"/>
      <c r="K16" s="1"/>
      <c r="L16" s="1"/>
    </row>
    <row r="17" spans="1:12" x14ac:dyDescent="0.3">
      <c r="A17" s="1">
        <v>10015</v>
      </c>
      <c r="B17" s="1" t="str">
        <f t="shared" si="0"/>
        <v>Equipment_Icon_Gloves_Tier6</v>
      </c>
      <c r="C17" s="1" t="str" cm="1">
        <f t="array" ref="C17">_xlfn.IFS(F17&lt;=2, "Common", F17&lt;=4, "Uncommon", F17&lt;=6, "Rare", F17&lt;=8, "Epic", F17=9, "Legendary", F17&gt;=10, "Mythic")</f>
        <v>Rare</v>
      </c>
      <c r="D17" s="1" t="s">
        <v>30</v>
      </c>
      <c r="E17" s="1" t="s">
        <v>214</v>
      </c>
      <c r="F17" s="1">
        <v>6</v>
      </c>
      <c r="G17" s="1">
        <f>1000+(F17*100)+VLOOKUP(E17,EquipPartMapping!$A:$B,2,FALSE)</f>
        <v>1602</v>
      </c>
      <c r="H17" s="1">
        <f>VLOOKUP(F17,TierMapping!$A:$B,2,FALSE)</f>
        <v>2601</v>
      </c>
      <c r="I17" t="s">
        <v>42</v>
      </c>
      <c r="J17" s="1"/>
      <c r="K17" s="1"/>
      <c r="L17" s="1"/>
    </row>
    <row r="18" spans="1:12" x14ac:dyDescent="0.3">
      <c r="A18" s="1">
        <v>10016</v>
      </c>
      <c r="B18" s="1" t="str">
        <f t="shared" si="0"/>
        <v>Equipment_Icon_Gloves_Tier7</v>
      </c>
      <c r="C18" s="1" t="str" cm="1">
        <f t="array" ref="C18">_xlfn.IFS(F18&lt;=2, "Common", F18&lt;=4, "Uncommon", F18&lt;=6, "Rare", F18&lt;=8, "Epic", F18=9, "Legendary", F18&gt;=10, "Mythic")</f>
        <v>Epic</v>
      </c>
      <c r="D18" s="1" t="s">
        <v>31</v>
      </c>
      <c r="E18" s="1" t="s">
        <v>214</v>
      </c>
      <c r="F18" s="1">
        <v>7</v>
      </c>
      <c r="G18" s="1">
        <f>1000+(F18*100)+VLOOKUP(E18,EquipPartMapping!$A:$B,2,FALSE)</f>
        <v>1702</v>
      </c>
      <c r="H18" s="1">
        <f>VLOOKUP(F18,TierMapping!$A:$B,2,FALSE)</f>
        <v>2701</v>
      </c>
      <c r="I18" t="s">
        <v>43</v>
      </c>
      <c r="J18" s="1"/>
      <c r="K18" s="1"/>
      <c r="L18" s="1"/>
    </row>
    <row r="19" spans="1:12" x14ac:dyDescent="0.3">
      <c r="A19" s="1">
        <v>10017</v>
      </c>
      <c r="B19" s="1" t="str">
        <f t="shared" si="0"/>
        <v>Equipment_Icon_Gloves_Tier8</v>
      </c>
      <c r="C19" s="1" t="str" cm="1">
        <f t="array" ref="C19">_xlfn.IFS(F19&lt;=2, "Common", F19&lt;=4, "Uncommon", F19&lt;=6, "Rare", F19&lt;=8, "Epic", F19=9, "Legendary", F19&gt;=10, "Mythic")</f>
        <v>Epic</v>
      </c>
      <c r="D19" s="1" t="s">
        <v>32</v>
      </c>
      <c r="E19" s="1" t="s">
        <v>214</v>
      </c>
      <c r="F19" s="1">
        <v>8</v>
      </c>
      <c r="G19" s="1">
        <f>1000+(F19*100)+VLOOKUP(E19,EquipPartMapping!$A:$B,2,FALSE)</f>
        <v>1802</v>
      </c>
      <c r="H19" s="1">
        <f>VLOOKUP(F19,TierMapping!$A:$B,2,FALSE)</f>
        <v>2801</v>
      </c>
      <c r="I19" t="s">
        <v>44</v>
      </c>
      <c r="J19" s="1"/>
      <c r="K19" s="1"/>
      <c r="L19" s="1"/>
    </row>
    <row r="20" spans="1:12" x14ac:dyDescent="0.3">
      <c r="A20" s="1">
        <v>10018</v>
      </c>
      <c r="B20" s="1" t="str">
        <f t="shared" si="0"/>
        <v>Equipment_Icon_Gloves_Tier9</v>
      </c>
      <c r="C20" s="1" t="str" cm="1">
        <f t="array" ref="C20">_xlfn.IFS(F20&lt;=2, "Common", F20&lt;=4, "Uncommon", F20&lt;=6, "Rare", F20&lt;=8, "Epic", F20=9, "Legendary", F20&gt;=10, "Mythic")</f>
        <v>Legendary</v>
      </c>
      <c r="D20" s="1" t="s">
        <v>33</v>
      </c>
      <c r="E20" s="1" t="s">
        <v>214</v>
      </c>
      <c r="F20" s="1">
        <v>9</v>
      </c>
      <c r="G20" s="1">
        <f>1000+(F20*100)+VLOOKUP(E20,EquipPartMapping!$A:$B,2,FALSE)</f>
        <v>1902</v>
      </c>
      <c r="H20" s="1">
        <f>VLOOKUP(F20,TierMapping!$A:$B,2,FALSE)</f>
        <v>2901</v>
      </c>
      <c r="I20" t="s">
        <v>45</v>
      </c>
      <c r="J20" s="1"/>
      <c r="K20" s="1"/>
      <c r="L20" s="1"/>
    </row>
    <row r="21" spans="1:12" x14ac:dyDescent="0.3">
      <c r="A21" s="1">
        <v>10019</v>
      </c>
      <c r="B21" s="1" t="str">
        <f t="shared" si="0"/>
        <v>Equipment_Icon_Gloves_Tier10</v>
      </c>
      <c r="C21" s="1" t="str" cm="1">
        <f t="array" ref="C21">_xlfn.IFS(F21&lt;=2, "Common", F21&lt;=4, "Uncommon", F21&lt;=6, "Rare", F21&lt;=8, "Epic", F21=9, "Legendary", F21&gt;=10, "Mythic")</f>
        <v>Mythic</v>
      </c>
      <c r="D21" s="1" t="s">
        <v>34</v>
      </c>
      <c r="E21" s="1" t="s">
        <v>214</v>
      </c>
      <c r="F21" s="1">
        <v>10</v>
      </c>
      <c r="G21" s="1">
        <f>1000+(F21*100)+VLOOKUP(E21,EquipPartMapping!$A:$B,2,FALSE)</f>
        <v>2002</v>
      </c>
      <c r="H21" s="1">
        <f>VLOOKUP(F21,TierMapping!$A:$B,2,FALSE)</f>
        <v>3001</v>
      </c>
      <c r="I21" t="s">
        <v>46</v>
      </c>
      <c r="J21" s="1"/>
      <c r="K21" s="1"/>
      <c r="L21" s="1"/>
    </row>
    <row r="22" spans="1:12" x14ac:dyDescent="0.3">
      <c r="A22" s="1">
        <v>10020</v>
      </c>
      <c r="B22" s="1" t="str">
        <f t="shared" si="0"/>
        <v>Equipment_Icon_Shoes_Tier1</v>
      </c>
      <c r="C22" s="1" t="str" cm="1">
        <f t="array" ref="C22">_xlfn.IFS(F22&lt;=2, "Common", F22&lt;=4, "Uncommon", F22&lt;=6, "Rare", F22&lt;=8, "Epic", F22=9, "Legendary", F22&gt;=10, "Mythic")</f>
        <v>Common</v>
      </c>
      <c r="D22" s="1" t="s">
        <v>48</v>
      </c>
      <c r="E22" s="1" t="s">
        <v>47</v>
      </c>
      <c r="F22" s="1">
        <v>1</v>
      </c>
      <c r="G22" s="1">
        <f>1000+(F22*100)+VLOOKUP(E22,EquipPartMapping!$A:$B,2,FALSE)</f>
        <v>1103</v>
      </c>
      <c r="H22" s="1">
        <f>VLOOKUP(F22,TierMapping!$A:$B,2,FALSE)</f>
        <v>2101</v>
      </c>
      <c r="I22" t="s">
        <v>58</v>
      </c>
      <c r="J22" s="1"/>
      <c r="K22" s="1"/>
      <c r="L22" s="1"/>
    </row>
    <row r="23" spans="1:12" x14ac:dyDescent="0.3">
      <c r="A23" s="1">
        <v>10021</v>
      </c>
      <c r="B23" s="1" t="str">
        <f t="shared" si="0"/>
        <v>Equipment_Icon_Shoes_Tier2</v>
      </c>
      <c r="C23" s="1" t="str" cm="1">
        <f t="array" ref="C23">_xlfn.IFS(F23&lt;=2, "Common", F23&lt;=4, "Uncommon", F23&lt;=6, "Rare", F23&lt;=8, "Epic", F23=9, "Legendary", F23&gt;=10, "Mythic")</f>
        <v>Common</v>
      </c>
      <c r="D23" s="1" t="s">
        <v>49</v>
      </c>
      <c r="E23" s="1" t="s">
        <v>47</v>
      </c>
      <c r="F23" s="1">
        <v>2</v>
      </c>
      <c r="G23" s="1">
        <f>1000+(F23*100)+VLOOKUP(E23,EquipPartMapping!$A:$B,2,FALSE)</f>
        <v>1203</v>
      </c>
      <c r="H23" s="1">
        <f>VLOOKUP(F23,TierMapping!$A:$B,2,FALSE)</f>
        <v>2201</v>
      </c>
      <c r="I23" t="s">
        <v>59</v>
      </c>
      <c r="J23" s="1"/>
      <c r="K23" s="1"/>
      <c r="L23" s="1"/>
    </row>
    <row r="24" spans="1:12" x14ac:dyDescent="0.3">
      <c r="A24" s="1">
        <v>10022</v>
      </c>
      <c r="B24" s="1" t="str">
        <f t="shared" si="0"/>
        <v>Equipment_Icon_Shoes_Tier3</v>
      </c>
      <c r="C24" s="1" t="str" cm="1">
        <f t="array" ref="C24">_xlfn.IFS(F24&lt;=2, "Common", F24&lt;=4, "Uncommon", F24&lt;=6, "Rare", F24&lt;=8, "Epic", F24=9, "Legendary", F24&gt;=10, "Mythic")</f>
        <v>Uncommon</v>
      </c>
      <c r="D24" s="1" t="s">
        <v>50</v>
      </c>
      <c r="E24" s="1" t="s">
        <v>47</v>
      </c>
      <c r="F24" s="1">
        <v>3</v>
      </c>
      <c r="G24" s="1">
        <f>1000+(F24*100)+VLOOKUP(E24,EquipPartMapping!$A:$B,2,FALSE)</f>
        <v>1303</v>
      </c>
      <c r="H24" s="1">
        <f>VLOOKUP(F24,TierMapping!$A:$B,2,FALSE)</f>
        <v>2301</v>
      </c>
      <c r="I24" t="s">
        <v>60</v>
      </c>
      <c r="J24" s="1"/>
      <c r="K24" s="1"/>
      <c r="L24" s="1"/>
    </row>
    <row r="25" spans="1:12" x14ac:dyDescent="0.3">
      <c r="A25" s="1">
        <v>10023</v>
      </c>
      <c r="B25" s="1" t="str">
        <f t="shared" si="0"/>
        <v>Equipment_Icon_Shoes_Tier4</v>
      </c>
      <c r="C25" s="1" t="str" cm="1">
        <f t="array" ref="C25">_xlfn.IFS(F25&lt;=2, "Common", F25&lt;=4, "Uncommon", F25&lt;=6, "Rare", F25&lt;=8, "Epic", F25=9, "Legendary", F25&gt;=10, "Mythic")</f>
        <v>Uncommon</v>
      </c>
      <c r="D25" s="1" t="s">
        <v>51</v>
      </c>
      <c r="E25" s="1" t="s">
        <v>47</v>
      </c>
      <c r="F25" s="1">
        <v>4</v>
      </c>
      <c r="G25" s="1">
        <f>1000+(F25*100)+VLOOKUP(E25,EquipPartMapping!$A:$B,2,FALSE)</f>
        <v>1403</v>
      </c>
      <c r="H25" s="1">
        <f>VLOOKUP(F25,TierMapping!$A:$B,2,FALSE)</f>
        <v>2401</v>
      </c>
      <c r="I25" t="s">
        <v>61</v>
      </c>
      <c r="J25" s="1"/>
      <c r="K25" s="1"/>
      <c r="L25" s="1"/>
    </row>
    <row r="26" spans="1:12" x14ac:dyDescent="0.3">
      <c r="A26" s="1">
        <v>10024</v>
      </c>
      <c r="B26" s="1" t="str">
        <f t="shared" si="0"/>
        <v>Equipment_Icon_Shoes_Tier5</v>
      </c>
      <c r="C26" s="1" t="str" cm="1">
        <f t="array" ref="C26">_xlfn.IFS(F26&lt;=2, "Common", F26&lt;=4, "Uncommon", F26&lt;=6, "Rare", F26&lt;=8, "Epic", F26=9, "Legendary", F26&gt;=10, "Mythic")</f>
        <v>Rare</v>
      </c>
      <c r="D26" s="1" t="s">
        <v>52</v>
      </c>
      <c r="E26" s="1" t="s">
        <v>47</v>
      </c>
      <c r="F26" s="1">
        <v>5</v>
      </c>
      <c r="G26" s="1">
        <f>1000+(F26*100)+VLOOKUP(E26,EquipPartMapping!$A:$B,2,FALSE)</f>
        <v>1503</v>
      </c>
      <c r="H26" s="1">
        <f>VLOOKUP(F26,TierMapping!$A:$B,2,FALSE)</f>
        <v>2501</v>
      </c>
      <c r="I26" t="s">
        <v>62</v>
      </c>
      <c r="J26" s="1"/>
      <c r="K26" s="1"/>
      <c r="L26" s="1"/>
    </row>
    <row r="27" spans="1:12" x14ac:dyDescent="0.3">
      <c r="A27" s="1">
        <v>10025</v>
      </c>
      <c r="B27" s="1" t="str">
        <f t="shared" si="0"/>
        <v>Equipment_Icon_Shoes_Tier6</v>
      </c>
      <c r="C27" s="1" t="str" cm="1">
        <f t="array" ref="C27">_xlfn.IFS(F27&lt;=2, "Common", F27&lt;=4, "Uncommon", F27&lt;=6, "Rare", F27&lt;=8, "Epic", F27=9, "Legendary", F27&gt;=10, "Mythic")</f>
        <v>Rare</v>
      </c>
      <c r="D27" s="1" t="s">
        <v>53</v>
      </c>
      <c r="E27" s="1" t="s">
        <v>47</v>
      </c>
      <c r="F27" s="1">
        <v>6</v>
      </c>
      <c r="G27" s="1">
        <f>1000+(F27*100)+VLOOKUP(E27,EquipPartMapping!$A:$B,2,FALSE)</f>
        <v>1603</v>
      </c>
      <c r="H27" s="1">
        <f>VLOOKUP(F27,TierMapping!$A:$B,2,FALSE)</f>
        <v>2601</v>
      </c>
      <c r="I27" t="s">
        <v>63</v>
      </c>
      <c r="J27" s="1"/>
      <c r="K27" s="1"/>
      <c r="L27" s="1"/>
    </row>
    <row r="28" spans="1:12" x14ac:dyDescent="0.3">
      <c r="A28" s="1">
        <v>10026</v>
      </c>
      <c r="B28" s="1" t="str">
        <f t="shared" si="0"/>
        <v>Equipment_Icon_Shoes_Tier7</v>
      </c>
      <c r="C28" s="1" t="str" cm="1">
        <f t="array" ref="C28">_xlfn.IFS(F28&lt;=2, "Common", F28&lt;=4, "Uncommon", F28&lt;=6, "Rare", F28&lt;=8, "Epic", F28=9, "Legendary", F28&gt;=10, "Mythic")</f>
        <v>Epic</v>
      </c>
      <c r="D28" s="1" t="s">
        <v>54</v>
      </c>
      <c r="E28" s="1" t="s">
        <v>47</v>
      </c>
      <c r="F28" s="1">
        <v>7</v>
      </c>
      <c r="G28" s="1">
        <f>1000+(F28*100)+VLOOKUP(E28,EquipPartMapping!$A:$B,2,FALSE)</f>
        <v>1703</v>
      </c>
      <c r="H28" s="1">
        <f>VLOOKUP(F28,TierMapping!$A:$B,2,FALSE)</f>
        <v>2701</v>
      </c>
      <c r="I28" t="s">
        <v>64</v>
      </c>
      <c r="J28" s="1"/>
      <c r="K28" s="1"/>
      <c r="L28" s="1"/>
    </row>
    <row r="29" spans="1:12" x14ac:dyDescent="0.3">
      <c r="A29" s="1">
        <v>10027</v>
      </c>
      <c r="B29" s="1" t="str">
        <f t="shared" si="0"/>
        <v>Equipment_Icon_Shoes_Tier8</v>
      </c>
      <c r="C29" s="1" t="str" cm="1">
        <f t="array" ref="C29">_xlfn.IFS(F29&lt;=2, "Common", F29&lt;=4, "Uncommon", F29&lt;=6, "Rare", F29&lt;=8, "Epic", F29=9, "Legendary", F29&gt;=10, "Mythic")</f>
        <v>Epic</v>
      </c>
      <c r="D29" s="1" t="s">
        <v>55</v>
      </c>
      <c r="E29" s="1" t="s">
        <v>47</v>
      </c>
      <c r="F29" s="1">
        <v>8</v>
      </c>
      <c r="G29" s="1">
        <f>1000+(F29*100)+VLOOKUP(E29,EquipPartMapping!$A:$B,2,FALSE)</f>
        <v>1803</v>
      </c>
      <c r="H29" s="1">
        <f>VLOOKUP(F29,TierMapping!$A:$B,2,FALSE)</f>
        <v>2801</v>
      </c>
      <c r="I29" t="s">
        <v>65</v>
      </c>
      <c r="J29" s="1"/>
      <c r="K29" s="1"/>
      <c r="L29" s="1"/>
    </row>
    <row r="30" spans="1:12" x14ac:dyDescent="0.3">
      <c r="A30" s="1">
        <v>10028</v>
      </c>
      <c r="B30" s="1" t="str">
        <f t="shared" si="0"/>
        <v>Equipment_Icon_Shoes_Tier9</v>
      </c>
      <c r="C30" s="1" t="str" cm="1">
        <f t="array" ref="C30">_xlfn.IFS(F30&lt;=2, "Common", F30&lt;=4, "Uncommon", F30&lt;=6, "Rare", F30&lt;=8, "Epic", F30=9, "Legendary", F30&gt;=10, "Mythic")</f>
        <v>Legendary</v>
      </c>
      <c r="D30" s="1" t="s">
        <v>56</v>
      </c>
      <c r="E30" s="1" t="s">
        <v>47</v>
      </c>
      <c r="F30" s="1">
        <v>9</v>
      </c>
      <c r="G30" s="1">
        <f>1000+(F30*100)+VLOOKUP(E30,EquipPartMapping!$A:$B,2,FALSE)</f>
        <v>1903</v>
      </c>
      <c r="H30" s="1">
        <f>VLOOKUP(F30,TierMapping!$A:$B,2,FALSE)</f>
        <v>2901</v>
      </c>
      <c r="I30" t="s">
        <v>66</v>
      </c>
      <c r="J30" s="1"/>
      <c r="K30" s="1"/>
      <c r="L30" s="1"/>
    </row>
    <row r="31" spans="1:12" x14ac:dyDescent="0.3">
      <c r="A31" s="1">
        <v>10029</v>
      </c>
      <c r="B31" s="1" t="str">
        <f t="shared" si="0"/>
        <v>Equipment_Icon_Shoes_Tier10</v>
      </c>
      <c r="C31" s="1" t="str" cm="1">
        <f t="array" ref="C31">_xlfn.IFS(F31&lt;=2, "Common", F31&lt;=4, "Uncommon", F31&lt;=6, "Rare", F31&lt;=8, "Epic", F31=9, "Legendary", F31&gt;=10, "Mythic")</f>
        <v>Mythic</v>
      </c>
      <c r="D31" s="1" t="s">
        <v>57</v>
      </c>
      <c r="E31" s="1" t="s">
        <v>47</v>
      </c>
      <c r="F31" s="1">
        <v>10</v>
      </c>
      <c r="G31" s="1">
        <f>1000+(F31*100)+VLOOKUP(E31,EquipPartMapping!$A:$B,2,FALSE)</f>
        <v>2003</v>
      </c>
      <c r="H31" s="1">
        <f>VLOOKUP(F31,TierMapping!$A:$B,2,FALSE)</f>
        <v>3001</v>
      </c>
      <c r="I31" t="s">
        <v>67</v>
      </c>
      <c r="J31" s="1"/>
      <c r="K31" s="1"/>
      <c r="L31" s="1"/>
    </row>
    <row r="32" spans="1:12" x14ac:dyDescent="0.3">
      <c r="A32" s="1">
        <v>10030</v>
      </c>
      <c r="B32" s="1" t="str">
        <f t="shared" si="0"/>
        <v>Equipment_Icon_Badge_Tier1</v>
      </c>
      <c r="C32" s="1" t="str" cm="1">
        <f t="array" ref="C32">_xlfn.IFS(F32&lt;=2, "Common", F32&lt;=4, "Uncommon", F32&lt;=6, "Rare", F32&lt;=8, "Epic", F32=9, "Legendary", F32&gt;=10, "Mythic")</f>
        <v>Common</v>
      </c>
      <c r="D32" s="1" t="s">
        <v>69</v>
      </c>
      <c r="E32" s="1" t="s">
        <v>68</v>
      </c>
      <c r="F32" s="1">
        <v>1</v>
      </c>
      <c r="G32" s="1">
        <f>1000+(F32*100)+VLOOKUP(E32,EquipPartMapping!$A:$B,2,FALSE)</f>
        <v>1103</v>
      </c>
      <c r="H32" s="1">
        <f>VLOOKUP(F32,TierMapping!$A:$B,2,FALSE)</f>
        <v>2101</v>
      </c>
      <c r="I32" t="s">
        <v>79</v>
      </c>
      <c r="J32" s="1"/>
      <c r="K32" s="1"/>
      <c r="L32" s="1"/>
    </row>
    <row r="33" spans="1:12" x14ac:dyDescent="0.3">
      <c r="A33" s="1">
        <v>10031</v>
      </c>
      <c r="B33" s="1" t="str">
        <f t="shared" si="0"/>
        <v>Equipment_Icon_Badge_Tier2</v>
      </c>
      <c r="C33" s="1" t="str" cm="1">
        <f t="array" ref="C33">_xlfn.IFS(F33&lt;=2, "Common", F33&lt;=4, "Uncommon", F33&lt;=6, "Rare", F33&lt;=8, "Epic", F33=9, "Legendary", F33&gt;=10, "Mythic")</f>
        <v>Common</v>
      </c>
      <c r="D33" s="1" t="s">
        <v>70</v>
      </c>
      <c r="E33" s="1" t="s">
        <v>68</v>
      </c>
      <c r="F33" s="1">
        <v>2</v>
      </c>
      <c r="G33" s="1">
        <f>1000+(F33*100)+VLOOKUP(E33,EquipPartMapping!$A:$B,2,FALSE)</f>
        <v>1203</v>
      </c>
      <c r="H33" s="1">
        <f>VLOOKUP(F33,TierMapping!$A:$B,2,FALSE)</f>
        <v>2201</v>
      </c>
      <c r="I33" t="s">
        <v>80</v>
      </c>
      <c r="J33" s="1"/>
      <c r="K33" s="1"/>
      <c r="L33" s="1"/>
    </row>
    <row r="34" spans="1:12" x14ac:dyDescent="0.3">
      <c r="A34" s="1">
        <v>10032</v>
      </c>
      <c r="B34" s="1" t="str">
        <f t="shared" si="0"/>
        <v>Equipment_Icon_Badge_Tier3</v>
      </c>
      <c r="C34" s="1" t="str" cm="1">
        <f t="array" ref="C34">_xlfn.IFS(F34&lt;=2, "Common", F34&lt;=4, "Uncommon", F34&lt;=6, "Rare", F34&lt;=8, "Epic", F34=9, "Legendary", F34&gt;=10, "Mythic")</f>
        <v>Uncommon</v>
      </c>
      <c r="D34" s="1" t="s">
        <v>71</v>
      </c>
      <c r="E34" s="1" t="s">
        <v>68</v>
      </c>
      <c r="F34" s="1">
        <v>3</v>
      </c>
      <c r="G34" s="1">
        <f>1000+(F34*100)+VLOOKUP(E34,EquipPartMapping!$A:$B,2,FALSE)</f>
        <v>1303</v>
      </c>
      <c r="H34" s="1">
        <f>VLOOKUP(F34,TierMapping!$A:$B,2,FALSE)</f>
        <v>2301</v>
      </c>
      <c r="I34" t="s">
        <v>81</v>
      </c>
      <c r="J34" s="1"/>
      <c r="K34" s="1"/>
      <c r="L34" s="1"/>
    </row>
    <row r="35" spans="1:12" x14ac:dyDescent="0.3">
      <c r="A35" s="1">
        <v>10033</v>
      </c>
      <c r="B35" s="1" t="str">
        <f t="shared" si="0"/>
        <v>Equipment_Icon_Badge_Tier4</v>
      </c>
      <c r="C35" s="1" t="str" cm="1">
        <f t="array" ref="C35">_xlfn.IFS(F35&lt;=2, "Common", F35&lt;=4, "Uncommon", F35&lt;=6, "Rare", F35&lt;=8, "Epic", F35=9, "Legendary", F35&gt;=10, "Mythic")</f>
        <v>Uncommon</v>
      </c>
      <c r="D35" s="1" t="s">
        <v>72</v>
      </c>
      <c r="E35" s="1" t="s">
        <v>68</v>
      </c>
      <c r="F35" s="1">
        <v>4</v>
      </c>
      <c r="G35" s="1">
        <f>1000+(F35*100)+VLOOKUP(E35,EquipPartMapping!$A:$B,2,FALSE)</f>
        <v>1403</v>
      </c>
      <c r="H35" s="1">
        <f>VLOOKUP(F35,TierMapping!$A:$B,2,FALSE)</f>
        <v>2401</v>
      </c>
      <c r="I35" t="s">
        <v>82</v>
      </c>
      <c r="J35" s="1"/>
      <c r="K35" s="1"/>
      <c r="L35" s="1"/>
    </row>
    <row r="36" spans="1:12" x14ac:dyDescent="0.3">
      <c r="A36" s="1">
        <v>10034</v>
      </c>
      <c r="B36" s="1" t="str">
        <f t="shared" si="0"/>
        <v>Equipment_Icon_Badge_Tier5</v>
      </c>
      <c r="C36" s="1" t="str" cm="1">
        <f t="array" ref="C36">_xlfn.IFS(F36&lt;=2, "Common", F36&lt;=4, "Uncommon", F36&lt;=6, "Rare", F36&lt;=8, "Epic", F36=9, "Legendary", F36&gt;=10, "Mythic")</f>
        <v>Rare</v>
      </c>
      <c r="D36" s="1" t="s">
        <v>73</v>
      </c>
      <c r="E36" s="1" t="s">
        <v>68</v>
      </c>
      <c r="F36" s="1">
        <v>5</v>
      </c>
      <c r="G36" s="1">
        <f>1000+(F36*100)+VLOOKUP(E36,EquipPartMapping!$A:$B,2,FALSE)</f>
        <v>1503</v>
      </c>
      <c r="H36" s="1">
        <f>VLOOKUP(F36,TierMapping!$A:$B,2,FALSE)</f>
        <v>2501</v>
      </c>
      <c r="I36" t="s">
        <v>83</v>
      </c>
      <c r="J36" s="1"/>
      <c r="K36" s="1"/>
      <c r="L36" s="1"/>
    </row>
    <row r="37" spans="1:12" x14ac:dyDescent="0.3">
      <c r="A37" s="1">
        <v>10035</v>
      </c>
      <c r="B37" s="1" t="str">
        <f t="shared" si="0"/>
        <v>Equipment_Icon_Badge_Tier6</v>
      </c>
      <c r="C37" s="1" t="str" cm="1">
        <f t="array" ref="C37">_xlfn.IFS(F37&lt;=2, "Common", F37&lt;=4, "Uncommon", F37&lt;=6, "Rare", F37&lt;=8, "Epic", F37=9, "Legendary", F37&gt;=10, "Mythic")</f>
        <v>Rare</v>
      </c>
      <c r="D37" s="1" t="s">
        <v>74</v>
      </c>
      <c r="E37" s="1" t="s">
        <v>68</v>
      </c>
      <c r="F37" s="1">
        <v>6</v>
      </c>
      <c r="G37" s="1">
        <f>1000+(F37*100)+VLOOKUP(E37,EquipPartMapping!$A:$B,2,FALSE)</f>
        <v>1603</v>
      </c>
      <c r="H37" s="1">
        <f>VLOOKUP(F37,TierMapping!$A:$B,2,FALSE)</f>
        <v>2601</v>
      </c>
      <c r="I37" t="s">
        <v>84</v>
      </c>
      <c r="J37" s="1"/>
      <c r="K37" s="1"/>
      <c r="L37" s="1"/>
    </row>
    <row r="38" spans="1:12" x14ac:dyDescent="0.3">
      <c r="A38" s="1">
        <v>10036</v>
      </c>
      <c r="B38" s="1" t="str">
        <f t="shared" si="0"/>
        <v>Equipment_Icon_Badge_Tier7</v>
      </c>
      <c r="C38" s="1" t="str" cm="1">
        <f t="array" ref="C38">_xlfn.IFS(F38&lt;=2, "Common", F38&lt;=4, "Uncommon", F38&lt;=6, "Rare", F38&lt;=8, "Epic", F38=9, "Legendary", F38&gt;=10, "Mythic")</f>
        <v>Epic</v>
      </c>
      <c r="D38" s="1" t="s">
        <v>75</v>
      </c>
      <c r="E38" s="1" t="s">
        <v>68</v>
      </c>
      <c r="F38" s="1">
        <v>7</v>
      </c>
      <c r="G38" s="1">
        <f>1000+(F38*100)+VLOOKUP(E38,EquipPartMapping!$A:$B,2,FALSE)</f>
        <v>1703</v>
      </c>
      <c r="H38" s="1">
        <f>VLOOKUP(F38,TierMapping!$A:$B,2,FALSE)</f>
        <v>2701</v>
      </c>
      <c r="I38" t="s">
        <v>85</v>
      </c>
      <c r="J38" s="1"/>
      <c r="K38" s="1"/>
      <c r="L38" s="1"/>
    </row>
    <row r="39" spans="1:12" x14ac:dyDescent="0.3">
      <c r="A39" s="1">
        <v>10037</v>
      </c>
      <c r="B39" s="1" t="str">
        <f t="shared" si="0"/>
        <v>Equipment_Icon_Badge_Tier8</v>
      </c>
      <c r="C39" s="1" t="str" cm="1">
        <f t="array" ref="C39">_xlfn.IFS(F39&lt;=2, "Common", F39&lt;=4, "Uncommon", F39&lt;=6, "Rare", F39&lt;=8, "Epic", F39=9, "Legendary", F39&gt;=10, "Mythic")</f>
        <v>Epic</v>
      </c>
      <c r="D39" s="1" t="s">
        <v>76</v>
      </c>
      <c r="E39" s="1" t="s">
        <v>68</v>
      </c>
      <c r="F39" s="1">
        <v>8</v>
      </c>
      <c r="G39" s="1">
        <f>1000+(F39*100)+VLOOKUP(E39,EquipPartMapping!$A:$B,2,FALSE)</f>
        <v>1803</v>
      </c>
      <c r="H39" s="1">
        <f>VLOOKUP(F39,TierMapping!$A:$B,2,FALSE)</f>
        <v>2801</v>
      </c>
      <c r="I39" t="s">
        <v>86</v>
      </c>
      <c r="J39" s="1"/>
      <c r="K39" s="1"/>
      <c r="L39" s="1"/>
    </row>
    <row r="40" spans="1:12" x14ac:dyDescent="0.3">
      <c r="A40" s="1">
        <v>10038</v>
      </c>
      <c r="B40" s="1" t="str">
        <f t="shared" si="0"/>
        <v>Equipment_Icon_Badge_Tier9</v>
      </c>
      <c r="C40" s="1" t="str" cm="1">
        <f t="array" ref="C40">_xlfn.IFS(F40&lt;=2, "Common", F40&lt;=4, "Uncommon", F40&lt;=6, "Rare", F40&lt;=8, "Epic", F40=9, "Legendary", F40&gt;=10, "Mythic")</f>
        <v>Legendary</v>
      </c>
      <c r="D40" s="1" t="s">
        <v>77</v>
      </c>
      <c r="E40" s="1" t="s">
        <v>68</v>
      </c>
      <c r="F40" s="1">
        <v>9</v>
      </c>
      <c r="G40" s="1">
        <f>1000+(F40*100)+VLOOKUP(E40,EquipPartMapping!$A:$B,2,FALSE)</f>
        <v>1903</v>
      </c>
      <c r="H40" s="1">
        <f>VLOOKUP(F40,TierMapping!$A:$B,2,FALSE)</f>
        <v>2901</v>
      </c>
      <c r="I40" t="s">
        <v>87</v>
      </c>
      <c r="J40" s="1"/>
      <c r="K40" s="1"/>
      <c r="L40" s="1"/>
    </row>
    <row r="41" spans="1:12" x14ac:dyDescent="0.3">
      <c r="A41" s="1">
        <v>10039</v>
      </c>
      <c r="B41" s="1" t="str">
        <f t="shared" si="0"/>
        <v>Equipment_Icon_Badge_Tier10</v>
      </c>
      <c r="C41" s="1" t="str" cm="1">
        <f t="array" ref="C41">_xlfn.IFS(F41&lt;=2, "Common", F41&lt;=4, "Uncommon", F41&lt;=6, "Rare", F41&lt;=8, "Epic", F41=9, "Legendary", F41&gt;=10, "Mythic")</f>
        <v>Mythic</v>
      </c>
      <c r="D41" s="1" t="s">
        <v>78</v>
      </c>
      <c r="E41" s="1" t="s">
        <v>68</v>
      </c>
      <c r="F41" s="1">
        <v>10</v>
      </c>
      <c r="G41" s="1">
        <f>1000+(F41*100)+VLOOKUP(E41,EquipPartMapping!$A:$B,2,FALSE)</f>
        <v>2003</v>
      </c>
      <c r="H41" s="1">
        <f>VLOOKUP(F41,TierMapping!$A:$B,2,FALSE)</f>
        <v>3001</v>
      </c>
      <c r="I41" t="s">
        <v>88</v>
      </c>
      <c r="J41" s="1"/>
      <c r="K41" s="1"/>
      <c r="L41" s="1"/>
    </row>
    <row r="42" spans="1:12" x14ac:dyDescent="0.3">
      <c r="A42" s="1">
        <v>10040</v>
      </c>
      <c r="B42" s="1" t="str">
        <f t="shared" si="0"/>
        <v>Equipment_Icon_Bag_Tier1</v>
      </c>
      <c r="C42" s="1" t="str" cm="1">
        <f t="array" ref="C42">_xlfn.IFS(F42&lt;=2, "Common", F42&lt;=4, "Uncommon", F42&lt;=6, "Rare", F42&lt;=8, "Epic", F42=9, "Legendary", F42&gt;=10, "Mythic")</f>
        <v>Common</v>
      </c>
      <c r="D42" s="1" t="s">
        <v>90</v>
      </c>
      <c r="E42" s="1" t="s">
        <v>89</v>
      </c>
      <c r="F42" s="1">
        <v>1</v>
      </c>
      <c r="G42" s="1">
        <f>1000+(F42*100)+VLOOKUP(E42,EquipPartMapping!$A:$B,2,FALSE)</f>
        <v>1103</v>
      </c>
      <c r="H42" s="1">
        <f>VLOOKUP(F42,TierMapping!$A:$B,2,FALSE)</f>
        <v>2101</v>
      </c>
      <c r="I42" t="s">
        <v>100</v>
      </c>
      <c r="J42" s="1"/>
      <c r="K42" s="1"/>
      <c r="L42" s="1"/>
    </row>
    <row r="43" spans="1:12" x14ac:dyDescent="0.3">
      <c r="A43" s="1">
        <v>10041</v>
      </c>
      <c r="B43" s="1" t="str">
        <f t="shared" si="0"/>
        <v>Equipment_Icon_Bag_Tier2</v>
      </c>
      <c r="C43" s="1" t="str" cm="1">
        <f t="array" ref="C43">_xlfn.IFS(F43&lt;=2, "Common", F43&lt;=4, "Uncommon", F43&lt;=6, "Rare", F43&lt;=8, "Epic", F43=9, "Legendary", F43&gt;=10, "Mythic")</f>
        <v>Common</v>
      </c>
      <c r="D43" s="1" t="s">
        <v>91</v>
      </c>
      <c r="E43" s="1" t="s">
        <v>89</v>
      </c>
      <c r="F43" s="1">
        <v>2</v>
      </c>
      <c r="G43" s="1">
        <f>1000+(F43*100)+VLOOKUP(E43,EquipPartMapping!$A:$B,2,FALSE)</f>
        <v>1203</v>
      </c>
      <c r="H43" s="1">
        <f>VLOOKUP(F43,TierMapping!$A:$B,2,FALSE)</f>
        <v>2201</v>
      </c>
      <c r="I43" t="s">
        <v>101</v>
      </c>
      <c r="J43" s="1"/>
      <c r="K43" s="1"/>
      <c r="L43" s="1"/>
    </row>
    <row r="44" spans="1:12" x14ac:dyDescent="0.3">
      <c r="A44" s="1">
        <v>10042</v>
      </c>
      <c r="B44" s="1" t="str">
        <f t="shared" si="0"/>
        <v>Equipment_Icon_Bag_Tier3</v>
      </c>
      <c r="C44" s="1" t="str" cm="1">
        <f t="array" ref="C44">_xlfn.IFS(F44&lt;=2, "Common", F44&lt;=4, "Uncommon", F44&lt;=6, "Rare", F44&lt;=8, "Epic", F44=9, "Legendary", F44&gt;=10, "Mythic")</f>
        <v>Uncommon</v>
      </c>
      <c r="D44" s="1" t="s">
        <v>92</v>
      </c>
      <c r="E44" s="1" t="s">
        <v>89</v>
      </c>
      <c r="F44" s="1">
        <v>3</v>
      </c>
      <c r="G44" s="1">
        <f>1000+(F44*100)+VLOOKUP(E44,EquipPartMapping!$A:$B,2,FALSE)</f>
        <v>1303</v>
      </c>
      <c r="H44" s="1">
        <f>VLOOKUP(F44,TierMapping!$A:$B,2,FALSE)</f>
        <v>2301</v>
      </c>
      <c r="I44" t="s">
        <v>102</v>
      </c>
      <c r="J44" s="1"/>
      <c r="K44" s="1"/>
      <c r="L44" s="1"/>
    </row>
    <row r="45" spans="1:12" x14ac:dyDescent="0.3">
      <c r="A45" s="1">
        <v>10043</v>
      </c>
      <c r="B45" s="1" t="str">
        <f t="shared" si="0"/>
        <v>Equipment_Icon_Bag_Tier4</v>
      </c>
      <c r="C45" s="1" t="str" cm="1">
        <f t="array" ref="C45">_xlfn.IFS(F45&lt;=2, "Common", F45&lt;=4, "Uncommon", F45&lt;=6, "Rare", F45&lt;=8, "Epic", F45=9, "Legendary", F45&gt;=10, "Mythic")</f>
        <v>Uncommon</v>
      </c>
      <c r="D45" s="1" t="s">
        <v>93</v>
      </c>
      <c r="E45" s="1" t="s">
        <v>89</v>
      </c>
      <c r="F45" s="1">
        <v>4</v>
      </c>
      <c r="G45" s="1">
        <f>1000+(F45*100)+VLOOKUP(E45,EquipPartMapping!$A:$B,2,FALSE)</f>
        <v>1403</v>
      </c>
      <c r="H45" s="1">
        <f>VLOOKUP(F45,TierMapping!$A:$B,2,FALSE)</f>
        <v>2401</v>
      </c>
      <c r="I45" t="s">
        <v>103</v>
      </c>
      <c r="J45" s="1"/>
      <c r="K45" s="1"/>
      <c r="L45" s="1"/>
    </row>
    <row r="46" spans="1:12" x14ac:dyDescent="0.3">
      <c r="A46" s="1">
        <v>10044</v>
      </c>
      <c r="B46" s="1" t="str">
        <f t="shared" si="0"/>
        <v>Equipment_Icon_Bag_Tier5</v>
      </c>
      <c r="C46" s="1" t="str" cm="1">
        <f t="array" ref="C46">_xlfn.IFS(F46&lt;=2, "Common", F46&lt;=4, "Uncommon", F46&lt;=6, "Rare", F46&lt;=8, "Epic", F46=9, "Legendary", F46&gt;=10, "Mythic")</f>
        <v>Rare</v>
      </c>
      <c r="D46" s="1" t="s">
        <v>94</v>
      </c>
      <c r="E46" s="1" t="s">
        <v>89</v>
      </c>
      <c r="F46" s="1">
        <v>5</v>
      </c>
      <c r="G46" s="1">
        <f>1000+(F46*100)+VLOOKUP(E46,EquipPartMapping!$A:$B,2,FALSE)</f>
        <v>1503</v>
      </c>
      <c r="H46" s="1">
        <f>VLOOKUP(F46,TierMapping!$A:$B,2,FALSE)</f>
        <v>2501</v>
      </c>
      <c r="I46" t="s">
        <v>104</v>
      </c>
      <c r="J46" s="1"/>
      <c r="K46" s="1"/>
      <c r="L46" s="1"/>
    </row>
    <row r="47" spans="1:12" x14ac:dyDescent="0.3">
      <c r="A47" s="1">
        <v>10045</v>
      </c>
      <c r="B47" s="1" t="str">
        <f t="shared" si="0"/>
        <v>Equipment_Icon_Bag_Tier6</v>
      </c>
      <c r="C47" s="1" t="str" cm="1">
        <f t="array" ref="C47">_xlfn.IFS(F47&lt;=2, "Common", F47&lt;=4, "Uncommon", F47&lt;=6, "Rare", F47&lt;=8, "Epic", F47=9, "Legendary", F47&gt;=10, "Mythic")</f>
        <v>Rare</v>
      </c>
      <c r="D47" s="1" t="s">
        <v>95</v>
      </c>
      <c r="E47" s="1" t="s">
        <v>89</v>
      </c>
      <c r="F47" s="1">
        <v>6</v>
      </c>
      <c r="G47" s="1">
        <f>1000+(F47*100)+VLOOKUP(E47,EquipPartMapping!$A:$B,2,FALSE)</f>
        <v>1603</v>
      </c>
      <c r="H47" s="1">
        <f>VLOOKUP(F47,TierMapping!$A:$B,2,FALSE)</f>
        <v>2601</v>
      </c>
      <c r="I47" t="s">
        <v>105</v>
      </c>
      <c r="J47" s="1"/>
      <c r="K47" s="1"/>
      <c r="L47" s="1"/>
    </row>
    <row r="48" spans="1:12" x14ac:dyDescent="0.3">
      <c r="A48" s="1">
        <v>10046</v>
      </c>
      <c r="B48" s="1" t="str">
        <f t="shared" si="0"/>
        <v>Equipment_Icon_Bag_Tier7</v>
      </c>
      <c r="C48" s="1" t="str" cm="1">
        <f t="array" ref="C48">_xlfn.IFS(F48&lt;=2, "Common", F48&lt;=4, "Uncommon", F48&lt;=6, "Rare", F48&lt;=8, "Epic", F48=9, "Legendary", F48&gt;=10, "Mythic")</f>
        <v>Epic</v>
      </c>
      <c r="D48" s="1" t="s">
        <v>96</v>
      </c>
      <c r="E48" s="1" t="s">
        <v>89</v>
      </c>
      <c r="F48" s="1">
        <v>7</v>
      </c>
      <c r="G48" s="1">
        <f>1000+(F48*100)+VLOOKUP(E48,EquipPartMapping!$A:$B,2,FALSE)</f>
        <v>1703</v>
      </c>
      <c r="H48" s="1">
        <f>VLOOKUP(F48,TierMapping!$A:$B,2,FALSE)</f>
        <v>2701</v>
      </c>
      <c r="I48" t="s">
        <v>106</v>
      </c>
      <c r="J48" s="1"/>
      <c r="K48" s="1"/>
      <c r="L48" s="1"/>
    </row>
    <row r="49" spans="1:12" x14ac:dyDescent="0.3">
      <c r="A49" s="1">
        <v>10047</v>
      </c>
      <c r="B49" s="1" t="str">
        <f t="shared" si="0"/>
        <v>Equipment_Icon_Bag_Tier8</v>
      </c>
      <c r="C49" s="1" t="str" cm="1">
        <f t="array" ref="C49">_xlfn.IFS(F49&lt;=2, "Common", F49&lt;=4, "Uncommon", F49&lt;=6, "Rare", F49&lt;=8, "Epic", F49=9, "Legendary", F49&gt;=10, "Mythic")</f>
        <v>Epic</v>
      </c>
      <c r="D49" s="1" t="s">
        <v>97</v>
      </c>
      <c r="E49" s="1" t="s">
        <v>89</v>
      </c>
      <c r="F49" s="1">
        <v>8</v>
      </c>
      <c r="G49" s="1">
        <f>1000+(F49*100)+VLOOKUP(E49,EquipPartMapping!$A:$B,2,FALSE)</f>
        <v>1803</v>
      </c>
      <c r="H49" s="1">
        <f>VLOOKUP(F49,TierMapping!$A:$B,2,FALSE)</f>
        <v>2801</v>
      </c>
      <c r="I49" t="s">
        <v>107</v>
      </c>
      <c r="J49" s="1"/>
      <c r="K49" s="1"/>
      <c r="L49" s="1"/>
    </row>
    <row r="50" spans="1:12" x14ac:dyDescent="0.3">
      <c r="A50" s="1">
        <v>10048</v>
      </c>
      <c r="B50" s="1" t="str">
        <f t="shared" si="0"/>
        <v>Equipment_Icon_Bag_Tier9</v>
      </c>
      <c r="C50" s="1" t="str" cm="1">
        <f t="array" ref="C50">_xlfn.IFS(F50&lt;=2, "Common", F50&lt;=4, "Uncommon", F50&lt;=6, "Rare", F50&lt;=8, "Epic", F50=9, "Legendary", F50&gt;=10, "Mythic")</f>
        <v>Legendary</v>
      </c>
      <c r="D50" s="1" t="s">
        <v>98</v>
      </c>
      <c r="E50" s="1" t="s">
        <v>89</v>
      </c>
      <c r="F50" s="1">
        <v>9</v>
      </c>
      <c r="G50" s="1">
        <f>1000+(F50*100)+VLOOKUP(E50,EquipPartMapping!$A:$B,2,FALSE)</f>
        <v>1903</v>
      </c>
      <c r="H50" s="1">
        <f>VLOOKUP(F50,TierMapping!$A:$B,2,FALSE)</f>
        <v>2901</v>
      </c>
      <c r="I50" t="s">
        <v>108</v>
      </c>
      <c r="J50" s="1"/>
      <c r="K50" s="1"/>
      <c r="L50" s="1"/>
    </row>
    <row r="51" spans="1:12" x14ac:dyDescent="0.3">
      <c r="A51" s="1">
        <v>10049</v>
      </c>
      <c r="B51" s="1" t="str">
        <f t="shared" si="0"/>
        <v>Equipment_Icon_Bag_Tier10</v>
      </c>
      <c r="C51" s="1" t="str" cm="1">
        <f t="array" ref="C51">_xlfn.IFS(F51&lt;=2, "Common", F51&lt;=4, "Uncommon", F51&lt;=6, "Rare", F51&lt;=8, "Epic", F51=9, "Legendary", F51&gt;=10, "Mythic")</f>
        <v>Mythic</v>
      </c>
      <c r="D51" s="1" t="s">
        <v>99</v>
      </c>
      <c r="E51" s="1" t="s">
        <v>89</v>
      </c>
      <c r="F51" s="1">
        <v>10</v>
      </c>
      <c r="G51" s="1">
        <f>1000+(F51*100)+VLOOKUP(E51,EquipPartMapping!$A:$B,2,FALSE)</f>
        <v>2003</v>
      </c>
      <c r="H51" s="1">
        <f>VLOOKUP(F51,TierMapping!$A:$B,2,FALSE)</f>
        <v>3001</v>
      </c>
      <c r="I51" t="s">
        <v>109</v>
      </c>
      <c r="J51" s="1"/>
      <c r="K51" s="1"/>
      <c r="L51" s="1"/>
    </row>
    <row r="52" spans="1:12" x14ac:dyDescent="0.3">
      <c r="A52" s="1">
        <v>10050</v>
      </c>
      <c r="B52" s="1" t="str">
        <f t="shared" si="0"/>
        <v>Equipment_Icon_Hairpin_Tier1</v>
      </c>
      <c r="C52" s="1" t="str" cm="1">
        <f t="array" ref="C52">_xlfn.IFS(F52&lt;=2, "Common", F52&lt;=4, "Uncommon", F52&lt;=6, "Rare", F52&lt;=8, "Epic", F52=9, "Legendary", F52&gt;=10, "Mythic")</f>
        <v>Common</v>
      </c>
      <c r="D52" s="1" t="s">
        <v>111</v>
      </c>
      <c r="E52" s="1" t="s">
        <v>110</v>
      </c>
      <c r="F52" s="1">
        <v>1</v>
      </c>
      <c r="G52" s="1">
        <f>1000+(F52*100)+VLOOKUP(E52,EquipPartMapping!$A:$B,2,FALSE)</f>
        <v>1103</v>
      </c>
      <c r="H52" s="1">
        <f>VLOOKUP(F52,TierMapping!$A:$B,2,FALSE)</f>
        <v>2101</v>
      </c>
      <c r="I52" t="s">
        <v>121</v>
      </c>
      <c r="J52" s="1"/>
      <c r="K52" s="1"/>
      <c r="L52" s="1"/>
    </row>
    <row r="53" spans="1:12" x14ac:dyDescent="0.3">
      <c r="A53" s="1">
        <v>10051</v>
      </c>
      <c r="B53" s="1" t="str">
        <f t="shared" si="0"/>
        <v>Equipment_Icon_Hairpin_Tier2</v>
      </c>
      <c r="C53" s="1" t="str" cm="1">
        <f t="array" ref="C53">_xlfn.IFS(F53&lt;=2, "Common", F53&lt;=4, "Uncommon", F53&lt;=6, "Rare", F53&lt;=8, "Epic", F53=9, "Legendary", F53&gt;=10, "Mythic")</f>
        <v>Common</v>
      </c>
      <c r="D53" s="1" t="s">
        <v>112</v>
      </c>
      <c r="E53" s="1" t="s">
        <v>110</v>
      </c>
      <c r="F53" s="1">
        <v>2</v>
      </c>
      <c r="G53" s="1">
        <f>1000+(F53*100)+VLOOKUP(E53,EquipPartMapping!$A:$B,2,FALSE)</f>
        <v>1203</v>
      </c>
      <c r="H53" s="1">
        <f>VLOOKUP(F53,TierMapping!$A:$B,2,FALSE)</f>
        <v>2201</v>
      </c>
      <c r="I53" t="s">
        <v>122</v>
      </c>
      <c r="J53" s="1"/>
      <c r="K53" s="1"/>
      <c r="L53" s="1"/>
    </row>
    <row r="54" spans="1:12" x14ac:dyDescent="0.3">
      <c r="A54" s="1">
        <v>10052</v>
      </c>
      <c r="B54" s="1" t="str">
        <f t="shared" si="0"/>
        <v>Equipment_Icon_Hairpin_Tier3</v>
      </c>
      <c r="C54" s="1" t="str" cm="1">
        <f t="array" ref="C54">_xlfn.IFS(F54&lt;=2, "Common", F54&lt;=4, "Uncommon", F54&lt;=6, "Rare", F54&lt;=8, "Epic", F54=9, "Legendary", F54&gt;=10, "Mythic")</f>
        <v>Uncommon</v>
      </c>
      <c r="D54" s="1" t="s">
        <v>113</v>
      </c>
      <c r="E54" s="1" t="s">
        <v>110</v>
      </c>
      <c r="F54" s="1">
        <v>3</v>
      </c>
      <c r="G54" s="1">
        <f>1000+(F54*100)+VLOOKUP(E54,EquipPartMapping!$A:$B,2,FALSE)</f>
        <v>1303</v>
      </c>
      <c r="H54" s="1">
        <f>VLOOKUP(F54,TierMapping!$A:$B,2,FALSE)</f>
        <v>2301</v>
      </c>
      <c r="I54" t="s">
        <v>123</v>
      </c>
      <c r="J54" s="1"/>
      <c r="K54" s="1"/>
      <c r="L54" s="1"/>
    </row>
    <row r="55" spans="1:12" x14ac:dyDescent="0.3">
      <c r="A55" s="1">
        <v>10053</v>
      </c>
      <c r="B55" s="1" t="str">
        <f t="shared" si="0"/>
        <v>Equipment_Icon_Hairpin_Tier4</v>
      </c>
      <c r="C55" s="1" t="str" cm="1">
        <f t="array" ref="C55">_xlfn.IFS(F55&lt;=2, "Common", F55&lt;=4, "Uncommon", F55&lt;=6, "Rare", F55&lt;=8, "Epic", F55=9, "Legendary", F55&gt;=10, "Mythic")</f>
        <v>Uncommon</v>
      </c>
      <c r="D55" s="1" t="s">
        <v>114</v>
      </c>
      <c r="E55" s="1" t="s">
        <v>110</v>
      </c>
      <c r="F55" s="1">
        <v>4</v>
      </c>
      <c r="G55" s="1">
        <f>1000+(F55*100)+VLOOKUP(E55,EquipPartMapping!$A:$B,2,FALSE)</f>
        <v>1403</v>
      </c>
      <c r="H55" s="1">
        <f>VLOOKUP(F55,TierMapping!$A:$B,2,FALSE)</f>
        <v>2401</v>
      </c>
      <c r="I55" t="s">
        <v>124</v>
      </c>
      <c r="J55" s="1"/>
      <c r="K55" s="1"/>
      <c r="L55" s="1"/>
    </row>
    <row r="56" spans="1:12" x14ac:dyDescent="0.3">
      <c r="A56" s="1">
        <v>10054</v>
      </c>
      <c r="B56" s="1" t="str">
        <f t="shared" si="0"/>
        <v>Equipment_Icon_Hairpin_Tier5</v>
      </c>
      <c r="C56" s="1" t="str" cm="1">
        <f t="array" ref="C56">_xlfn.IFS(F56&lt;=2, "Common", F56&lt;=4, "Uncommon", F56&lt;=6, "Rare", F56&lt;=8, "Epic", F56=9, "Legendary", F56&gt;=10, "Mythic")</f>
        <v>Rare</v>
      </c>
      <c r="D56" s="1" t="s">
        <v>115</v>
      </c>
      <c r="E56" s="1" t="s">
        <v>110</v>
      </c>
      <c r="F56" s="1">
        <v>5</v>
      </c>
      <c r="G56" s="1">
        <f>1000+(F56*100)+VLOOKUP(E56,EquipPartMapping!$A:$B,2,FALSE)</f>
        <v>1503</v>
      </c>
      <c r="H56" s="1">
        <f>VLOOKUP(F56,TierMapping!$A:$B,2,FALSE)</f>
        <v>2501</v>
      </c>
      <c r="I56" t="s">
        <v>125</v>
      </c>
      <c r="J56" s="1"/>
      <c r="K56" s="1"/>
      <c r="L56" s="1"/>
    </row>
    <row r="57" spans="1:12" x14ac:dyDescent="0.3">
      <c r="A57" s="1">
        <v>10055</v>
      </c>
      <c r="B57" s="1" t="str">
        <f t="shared" si="0"/>
        <v>Equipment_Icon_Hairpin_Tier6</v>
      </c>
      <c r="C57" s="1" t="str" cm="1">
        <f t="array" ref="C57">_xlfn.IFS(F57&lt;=2, "Common", F57&lt;=4, "Uncommon", F57&lt;=6, "Rare", F57&lt;=8, "Epic", F57=9, "Legendary", F57&gt;=10, "Mythic")</f>
        <v>Rare</v>
      </c>
      <c r="D57" s="1" t="s">
        <v>116</v>
      </c>
      <c r="E57" s="1" t="s">
        <v>110</v>
      </c>
      <c r="F57" s="1">
        <v>6</v>
      </c>
      <c r="G57" s="1">
        <f>1000+(F57*100)+VLOOKUP(E57,EquipPartMapping!$A:$B,2,FALSE)</f>
        <v>1603</v>
      </c>
      <c r="H57" s="1">
        <f>VLOOKUP(F57,TierMapping!$A:$B,2,FALSE)</f>
        <v>2601</v>
      </c>
      <c r="I57" t="s">
        <v>126</v>
      </c>
      <c r="J57" s="1"/>
      <c r="K57" s="1"/>
      <c r="L57" s="1"/>
    </row>
    <row r="58" spans="1:12" x14ac:dyDescent="0.3">
      <c r="A58" s="1">
        <v>10056</v>
      </c>
      <c r="B58" s="1" t="str">
        <f t="shared" si="0"/>
        <v>Equipment_Icon_Hairpin_Tier7</v>
      </c>
      <c r="C58" s="1" t="str" cm="1">
        <f t="array" ref="C58">_xlfn.IFS(F58&lt;=2, "Common", F58&lt;=4, "Uncommon", F58&lt;=6, "Rare", F58&lt;=8, "Epic", F58=9, "Legendary", F58&gt;=10, "Mythic")</f>
        <v>Epic</v>
      </c>
      <c r="D58" s="1" t="s">
        <v>117</v>
      </c>
      <c r="E58" s="1" t="s">
        <v>110</v>
      </c>
      <c r="F58" s="1">
        <v>7</v>
      </c>
      <c r="G58" s="1">
        <f>1000+(F58*100)+VLOOKUP(E58,EquipPartMapping!$A:$B,2,FALSE)</f>
        <v>1703</v>
      </c>
      <c r="H58" s="1">
        <f>VLOOKUP(F58,TierMapping!$A:$B,2,FALSE)</f>
        <v>2701</v>
      </c>
      <c r="I58" t="s">
        <v>127</v>
      </c>
      <c r="J58" s="1"/>
      <c r="K58" s="1"/>
      <c r="L58" s="1"/>
    </row>
    <row r="59" spans="1:12" x14ac:dyDescent="0.3">
      <c r="A59" s="1">
        <v>10057</v>
      </c>
      <c r="B59" s="1" t="str">
        <f t="shared" si="0"/>
        <v>Equipment_Icon_Hairpin_Tier8</v>
      </c>
      <c r="C59" s="1" t="str" cm="1">
        <f t="array" ref="C59">_xlfn.IFS(F59&lt;=2, "Common", F59&lt;=4, "Uncommon", F59&lt;=6, "Rare", F59&lt;=8, "Epic", F59=9, "Legendary", F59&gt;=10, "Mythic")</f>
        <v>Epic</v>
      </c>
      <c r="D59" s="1" t="s">
        <v>118</v>
      </c>
      <c r="E59" s="1" t="s">
        <v>110</v>
      </c>
      <c r="F59" s="1">
        <v>8</v>
      </c>
      <c r="G59" s="1">
        <f>1000+(F59*100)+VLOOKUP(E59,EquipPartMapping!$A:$B,2,FALSE)</f>
        <v>1803</v>
      </c>
      <c r="H59" s="1">
        <f>VLOOKUP(F59,TierMapping!$A:$B,2,FALSE)</f>
        <v>2801</v>
      </c>
      <c r="I59" t="s">
        <v>128</v>
      </c>
      <c r="J59" s="1"/>
      <c r="K59" s="1"/>
      <c r="L59" s="1"/>
    </row>
    <row r="60" spans="1:12" x14ac:dyDescent="0.3">
      <c r="A60" s="1">
        <v>10058</v>
      </c>
      <c r="B60" s="1" t="str">
        <f t="shared" si="0"/>
        <v>Equipment_Icon_Hairpin_Tier9</v>
      </c>
      <c r="C60" s="1" t="str" cm="1">
        <f t="array" ref="C60">_xlfn.IFS(F60&lt;=2, "Common", F60&lt;=4, "Uncommon", F60&lt;=6, "Rare", F60&lt;=8, "Epic", F60=9, "Legendary", F60&gt;=10, "Mythic")</f>
        <v>Legendary</v>
      </c>
      <c r="D60" s="1" t="s">
        <v>119</v>
      </c>
      <c r="E60" s="1" t="s">
        <v>110</v>
      </c>
      <c r="F60" s="1">
        <v>9</v>
      </c>
      <c r="G60" s="1">
        <f>1000+(F60*100)+VLOOKUP(E60,EquipPartMapping!$A:$B,2,FALSE)</f>
        <v>1903</v>
      </c>
      <c r="H60" s="1">
        <f>VLOOKUP(F60,TierMapping!$A:$B,2,FALSE)</f>
        <v>2901</v>
      </c>
      <c r="I60" t="s">
        <v>129</v>
      </c>
      <c r="J60" s="1"/>
      <c r="K60" s="1"/>
      <c r="L60" s="1"/>
    </row>
    <row r="61" spans="1:12" x14ac:dyDescent="0.3">
      <c r="A61" s="1">
        <v>10059</v>
      </c>
      <c r="B61" s="1" t="str">
        <f t="shared" si="0"/>
        <v>Equipment_Icon_Hairpin_Tier10</v>
      </c>
      <c r="C61" s="1" t="str" cm="1">
        <f t="array" ref="C61">_xlfn.IFS(F61&lt;=2, "Common", F61&lt;=4, "Uncommon", F61&lt;=6, "Rare", F61&lt;=8, "Epic", F61=9, "Legendary", F61&gt;=10, "Mythic")</f>
        <v>Mythic</v>
      </c>
      <c r="D61" s="1" t="s">
        <v>120</v>
      </c>
      <c r="E61" s="1" t="s">
        <v>110</v>
      </c>
      <c r="F61" s="1">
        <v>10</v>
      </c>
      <c r="G61" s="1">
        <f>1000+(F61*100)+VLOOKUP(E61,EquipPartMapping!$A:$B,2,FALSE)</f>
        <v>2003</v>
      </c>
      <c r="H61" s="1">
        <f>VLOOKUP(F61,TierMapping!$A:$B,2,FALSE)</f>
        <v>3001</v>
      </c>
      <c r="I61" t="s">
        <v>130</v>
      </c>
      <c r="J61" s="1"/>
      <c r="K61" s="1"/>
      <c r="L61" s="1"/>
    </row>
    <row r="62" spans="1:12" x14ac:dyDescent="0.3">
      <c r="A62" s="1">
        <v>10060</v>
      </c>
      <c r="B62" s="1" t="str">
        <f t="shared" si="0"/>
        <v>Equipment_Icon_Necklace_Tier1</v>
      </c>
      <c r="C62" s="1" t="str" cm="1">
        <f t="array" ref="C62">_xlfn.IFS(F62&lt;=2, "Common", F62&lt;=4, "Uncommon", F62&lt;=6, "Rare", F62&lt;=8, "Epic", F62=9, "Legendary", F62&gt;=10, "Mythic")</f>
        <v>Common</v>
      </c>
      <c r="D62" s="1" t="s">
        <v>132</v>
      </c>
      <c r="E62" s="1" t="s">
        <v>131</v>
      </c>
      <c r="F62" s="1">
        <v>1</v>
      </c>
      <c r="G62" s="1">
        <f>1000+(F62*100)+VLOOKUP(E62,EquipPartMapping!$A:$B,2,FALSE)</f>
        <v>1103</v>
      </c>
      <c r="H62" s="1">
        <f>VLOOKUP(F62,TierMapping!$A:$B,2,FALSE)</f>
        <v>2101</v>
      </c>
      <c r="I62" t="s">
        <v>142</v>
      </c>
      <c r="J62" s="1"/>
      <c r="K62" s="1"/>
      <c r="L62" s="1"/>
    </row>
    <row r="63" spans="1:12" x14ac:dyDescent="0.3">
      <c r="A63" s="1">
        <v>10061</v>
      </c>
      <c r="B63" s="1" t="str">
        <f t="shared" si="0"/>
        <v>Equipment_Icon_Necklace_Tier2</v>
      </c>
      <c r="C63" s="1" t="str" cm="1">
        <f t="array" ref="C63">_xlfn.IFS(F63&lt;=2, "Common", F63&lt;=4, "Uncommon", F63&lt;=6, "Rare", F63&lt;=8, "Epic", F63=9, "Legendary", F63&gt;=10, "Mythic")</f>
        <v>Common</v>
      </c>
      <c r="D63" s="1" t="s">
        <v>133</v>
      </c>
      <c r="E63" s="1" t="s">
        <v>131</v>
      </c>
      <c r="F63" s="1">
        <v>2</v>
      </c>
      <c r="G63" s="1">
        <f>1000+(F63*100)+VLOOKUP(E63,EquipPartMapping!$A:$B,2,FALSE)</f>
        <v>1203</v>
      </c>
      <c r="H63" s="1">
        <f>VLOOKUP(F63,TierMapping!$A:$B,2,FALSE)</f>
        <v>2201</v>
      </c>
      <c r="I63" t="s">
        <v>143</v>
      </c>
      <c r="J63" s="1"/>
      <c r="K63" s="1"/>
      <c r="L63" s="1"/>
    </row>
    <row r="64" spans="1:12" x14ac:dyDescent="0.3">
      <c r="A64" s="1">
        <v>10062</v>
      </c>
      <c r="B64" s="1" t="str">
        <f t="shared" si="0"/>
        <v>Equipment_Icon_Necklace_Tier3</v>
      </c>
      <c r="C64" s="1" t="str" cm="1">
        <f t="array" ref="C64">_xlfn.IFS(F64&lt;=2, "Common", F64&lt;=4, "Uncommon", F64&lt;=6, "Rare", F64&lt;=8, "Epic", F64=9, "Legendary", F64&gt;=10, "Mythic")</f>
        <v>Uncommon</v>
      </c>
      <c r="D64" s="1" t="s">
        <v>134</v>
      </c>
      <c r="E64" s="1" t="s">
        <v>131</v>
      </c>
      <c r="F64" s="1">
        <v>3</v>
      </c>
      <c r="G64" s="1">
        <f>1000+(F64*100)+VLOOKUP(E64,EquipPartMapping!$A:$B,2,FALSE)</f>
        <v>1303</v>
      </c>
      <c r="H64" s="1">
        <f>VLOOKUP(F64,TierMapping!$A:$B,2,FALSE)</f>
        <v>2301</v>
      </c>
      <c r="I64" t="s">
        <v>144</v>
      </c>
      <c r="J64" s="1"/>
      <c r="K64" s="1"/>
      <c r="L64" s="1"/>
    </row>
    <row r="65" spans="1:12" x14ac:dyDescent="0.3">
      <c r="A65" s="1">
        <v>10063</v>
      </c>
      <c r="B65" s="1" t="str">
        <f t="shared" si="0"/>
        <v>Equipment_Icon_Necklace_Tier4</v>
      </c>
      <c r="C65" s="1" t="str" cm="1">
        <f t="array" ref="C65">_xlfn.IFS(F65&lt;=2, "Common", F65&lt;=4, "Uncommon", F65&lt;=6, "Rare", F65&lt;=8, "Epic", F65=9, "Legendary", F65&gt;=10, "Mythic")</f>
        <v>Uncommon</v>
      </c>
      <c r="D65" s="1" t="s">
        <v>135</v>
      </c>
      <c r="E65" s="1" t="s">
        <v>131</v>
      </c>
      <c r="F65" s="1">
        <v>4</v>
      </c>
      <c r="G65" s="1">
        <f>1000+(F65*100)+VLOOKUP(E65,EquipPartMapping!$A:$B,2,FALSE)</f>
        <v>1403</v>
      </c>
      <c r="H65" s="1">
        <f>VLOOKUP(F65,TierMapping!$A:$B,2,FALSE)</f>
        <v>2401</v>
      </c>
      <c r="I65" t="s">
        <v>145</v>
      </c>
      <c r="J65" s="1"/>
      <c r="K65" s="1"/>
      <c r="L65" s="1"/>
    </row>
    <row r="66" spans="1:12" x14ac:dyDescent="0.3">
      <c r="A66" s="1">
        <v>10064</v>
      </c>
      <c r="B66" s="1" t="str">
        <f t="shared" si="0"/>
        <v>Equipment_Icon_Necklace_Tier5</v>
      </c>
      <c r="C66" s="1" t="str" cm="1">
        <f t="array" ref="C66">_xlfn.IFS(F66&lt;=2, "Common", F66&lt;=4, "Uncommon", F66&lt;=6, "Rare", F66&lt;=8, "Epic", F66=9, "Legendary", F66&gt;=10, "Mythic")</f>
        <v>Rare</v>
      </c>
      <c r="D66" s="1" t="s">
        <v>136</v>
      </c>
      <c r="E66" s="1" t="s">
        <v>131</v>
      </c>
      <c r="F66" s="1">
        <v>5</v>
      </c>
      <c r="G66" s="1">
        <f>1000+(F66*100)+VLOOKUP(E66,EquipPartMapping!$A:$B,2,FALSE)</f>
        <v>1503</v>
      </c>
      <c r="H66" s="1">
        <f>VLOOKUP(F66,TierMapping!$A:$B,2,FALSE)</f>
        <v>2501</v>
      </c>
      <c r="I66" t="s">
        <v>146</v>
      </c>
      <c r="J66" s="1"/>
      <c r="K66" s="1"/>
      <c r="L66" s="1"/>
    </row>
    <row r="67" spans="1:12" x14ac:dyDescent="0.3">
      <c r="A67" s="1">
        <v>10065</v>
      </c>
      <c r="B67" s="1" t="str">
        <f t="shared" ref="B67:B91" si="1">"Equipment_Icon_" &amp; E67 &amp; "_" &amp; "Tier" &amp; F67</f>
        <v>Equipment_Icon_Necklace_Tier6</v>
      </c>
      <c r="C67" s="1" t="str" cm="1">
        <f t="array" ref="C67">_xlfn.IFS(F67&lt;=2, "Common", F67&lt;=4, "Uncommon", F67&lt;=6, "Rare", F67&lt;=8, "Epic", F67=9, "Legendary", F67&gt;=10, "Mythic")</f>
        <v>Rare</v>
      </c>
      <c r="D67" s="1" t="s">
        <v>137</v>
      </c>
      <c r="E67" s="1" t="s">
        <v>131</v>
      </c>
      <c r="F67" s="1">
        <v>6</v>
      </c>
      <c r="G67" s="1">
        <f>1000+(F67*100)+VLOOKUP(E67,EquipPartMapping!$A:$B,2,FALSE)</f>
        <v>1603</v>
      </c>
      <c r="H67" s="1">
        <f>VLOOKUP(F67,TierMapping!$A:$B,2,FALSE)</f>
        <v>2601</v>
      </c>
      <c r="I67" t="s">
        <v>147</v>
      </c>
      <c r="J67" s="1"/>
      <c r="K67" s="1"/>
      <c r="L67" s="1"/>
    </row>
    <row r="68" spans="1:12" x14ac:dyDescent="0.3">
      <c r="A68" s="1">
        <v>10066</v>
      </c>
      <c r="B68" s="1" t="str">
        <f t="shared" si="1"/>
        <v>Equipment_Icon_Necklace_Tier7</v>
      </c>
      <c r="C68" s="1" t="str" cm="1">
        <f t="array" ref="C68">_xlfn.IFS(F68&lt;=2, "Common", F68&lt;=4, "Uncommon", F68&lt;=6, "Rare", F68&lt;=8, "Epic", F68=9, "Legendary", F68&gt;=10, "Mythic")</f>
        <v>Epic</v>
      </c>
      <c r="D68" s="1" t="s">
        <v>138</v>
      </c>
      <c r="E68" s="1" t="s">
        <v>131</v>
      </c>
      <c r="F68" s="1">
        <v>7</v>
      </c>
      <c r="G68" s="1">
        <f>1000+(F68*100)+VLOOKUP(E68,EquipPartMapping!$A:$B,2,FALSE)</f>
        <v>1703</v>
      </c>
      <c r="H68" s="1">
        <f>VLOOKUP(F68,TierMapping!$A:$B,2,FALSE)</f>
        <v>2701</v>
      </c>
      <c r="I68" t="s">
        <v>148</v>
      </c>
      <c r="J68" s="1"/>
      <c r="K68" s="1"/>
      <c r="L68" s="1"/>
    </row>
    <row r="69" spans="1:12" x14ac:dyDescent="0.3">
      <c r="A69" s="1">
        <v>10067</v>
      </c>
      <c r="B69" s="1" t="str">
        <f t="shared" si="1"/>
        <v>Equipment_Icon_Necklace_Tier8</v>
      </c>
      <c r="C69" s="1" t="str" cm="1">
        <f t="array" ref="C69">_xlfn.IFS(F69&lt;=2, "Common", F69&lt;=4, "Uncommon", F69&lt;=6, "Rare", F69&lt;=8, "Epic", F69=9, "Legendary", F69&gt;=10, "Mythic")</f>
        <v>Epic</v>
      </c>
      <c r="D69" s="1" t="s">
        <v>139</v>
      </c>
      <c r="E69" s="1" t="s">
        <v>131</v>
      </c>
      <c r="F69" s="1">
        <v>8</v>
      </c>
      <c r="G69" s="1">
        <f>1000+(F69*100)+VLOOKUP(E69,EquipPartMapping!$A:$B,2,FALSE)</f>
        <v>1803</v>
      </c>
      <c r="H69" s="1">
        <f>VLOOKUP(F69,TierMapping!$A:$B,2,FALSE)</f>
        <v>2801</v>
      </c>
      <c r="I69" t="s">
        <v>149</v>
      </c>
      <c r="J69" s="1"/>
      <c r="K69" s="1"/>
      <c r="L69" s="1"/>
    </row>
    <row r="70" spans="1:12" x14ac:dyDescent="0.3">
      <c r="A70" s="1">
        <v>10068</v>
      </c>
      <c r="B70" s="1" t="str">
        <f t="shared" si="1"/>
        <v>Equipment_Icon_Necklace_Tier9</v>
      </c>
      <c r="C70" s="1" t="str" cm="1">
        <f t="array" ref="C70">_xlfn.IFS(F70&lt;=2, "Common", F70&lt;=4, "Uncommon", F70&lt;=6, "Rare", F70&lt;=8, "Epic", F70=9, "Legendary", F70&gt;=10, "Mythic")</f>
        <v>Legendary</v>
      </c>
      <c r="D70" s="1" t="s">
        <v>140</v>
      </c>
      <c r="E70" s="1" t="s">
        <v>131</v>
      </c>
      <c r="F70" s="1">
        <v>9</v>
      </c>
      <c r="G70" s="1">
        <f>1000+(F70*100)+VLOOKUP(E70,EquipPartMapping!$A:$B,2,FALSE)</f>
        <v>1903</v>
      </c>
      <c r="H70" s="1">
        <f>VLOOKUP(F70,TierMapping!$A:$B,2,FALSE)</f>
        <v>2901</v>
      </c>
      <c r="I70" t="s">
        <v>150</v>
      </c>
      <c r="J70" s="1"/>
      <c r="K70" s="1"/>
      <c r="L70" s="1"/>
    </row>
    <row r="71" spans="1:12" x14ac:dyDescent="0.3">
      <c r="A71" s="1">
        <v>10069</v>
      </c>
      <c r="B71" s="1" t="str">
        <f t="shared" si="1"/>
        <v>Equipment_Icon_Necklace_Tier10</v>
      </c>
      <c r="C71" s="1" t="str" cm="1">
        <f t="array" ref="C71">_xlfn.IFS(F71&lt;=2, "Common", F71&lt;=4, "Uncommon", F71&lt;=6, "Rare", F71&lt;=8, "Epic", F71=9, "Legendary", F71&gt;=10, "Mythic")</f>
        <v>Mythic</v>
      </c>
      <c r="D71" s="1" t="s">
        <v>141</v>
      </c>
      <c r="E71" s="1" t="s">
        <v>131</v>
      </c>
      <c r="F71" s="1">
        <v>10</v>
      </c>
      <c r="G71" s="1">
        <f>1000+(F71*100)+VLOOKUP(E71,EquipPartMapping!$A:$B,2,FALSE)</f>
        <v>2003</v>
      </c>
      <c r="H71" s="1">
        <f>VLOOKUP(F71,TierMapping!$A:$B,2,FALSE)</f>
        <v>3001</v>
      </c>
      <c r="I71" t="s">
        <v>151</v>
      </c>
      <c r="J71" s="1"/>
      <c r="K71" s="1"/>
      <c r="L71" s="1"/>
    </row>
    <row r="72" spans="1:12" x14ac:dyDescent="0.3">
      <c r="A72" s="1">
        <v>10070</v>
      </c>
      <c r="B72" s="1" t="str">
        <f t="shared" si="1"/>
        <v>Equipment_Icon_Charm_Tier1</v>
      </c>
      <c r="C72" s="1" t="str" cm="1">
        <f t="array" ref="C72">_xlfn.IFS(F72&lt;=2, "Common", F72&lt;=4, "Uncommon", F72&lt;=6, "Rare", F72&lt;=8, "Epic", F72=9, "Legendary", F72&gt;=10, "Mythic")</f>
        <v>Common</v>
      </c>
      <c r="D72" s="1" t="s">
        <v>153</v>
      </c>
      <c r="E72" s="1" t="s">
        <v>152</v>
      </c>
      <c r="F72" s="1">
        <v>1</v>
      </c>
      <c r="G72" s="1">
        <f>1000+(F72*100)+VLOOKUP(E72,EquipPartMapping!$A:$B,2,FALSE)</f>
        <v>1101</v>
      </c>
      <c r="H72" s="1">
        <f>VLOOKUP(F72,TierMapping!$A:$B,2,FALSE)</f>
        <v>2101</v>
      </c>
      <c r="I72" t="s">
        <v>163</v>
      </c>
      <c r="J72" s="1"/>
      <c r="K72" s="1"/>
      <c r="L72" s="1"/>
    </row>
    <row r="73" spans="1:12" x14ac:dyDescent="0.3">
      <c r="A73" s="1">
        <v>10071</v>
      </c>
      <c r="B73" s="1" t="str">
        <f t="shared" si="1"/>
        <v>Equipment_Icon_Charm_Tier2</v>
      </c>
      <c r="C73" s="1" t="str" cm="1">
        <f t="array" ref="C73">_xlfn.IFS(F73&lt;=2, "Common", F73&lt;=4, "Uncommon", F73&lt;=6, "Rare", F73&lt;=8, "Epic", F73=9, "Legendary", F73&gt;=10, "Mythic")</f>
        <v>Common</v>
      </c>
      <c r="D73" s="1" t="s">
        <v>154</v>
      </c>
      <c r="E73" s="1" t="s">
        <v>152</v>
      </c>
      <c r="F73" s="1">
        <v>2</v>
      </c>
      <c r="G73" s="1">
        <f>1000+(F73*100)+VLOOKUP(E73,EquipPartMapping!$A:$B,2,FALSE)</f>
        <v>1201</v>
      </c>
      <c r="H73" s="1">
        <f>VLOOKUP(F73,TierMapping!$A:$B,2,FALSE)</f>
        <v>2201</v>
      </c>
      <c r="I73" t="s">
        <v>164</v>
      </c>
      <c r="J73" s="1"/>
      <c r="K73" s="1"/>
      <c r="L73" s="1"/>
    </row>
    <row r="74" spans="1:12" x14ac:dyDescent="0.3">
      <c r="A74" s="1">
        <v>10072</v>
      </c>
      <c r="B74" s="1" t="str">
        <f t="shared" si="1"/>
        <v>Equipment_Icon_Charm_Tier3</v>
      </c>
      <c r="C74" s="1" t="str" cm="1">
        <f t="array" ref="C74">_xlfn.IFS(F74&lt;=2, "Common", F74&lt;=4, "Uncommon", F74&lt;=6, "Rare", F74&lt;=8, "Epic", F74=9, "Legendary", F74&gt;=10, "Mythic")</f>
        <v>Uncommon</v>
      </c>
      <c r="D74" s="1" t="s">
        <v>155</v>
      </c>
      <c r="E74" s="1" t="s">
        <v>152</v>
      </c>
      <c r="F74" s="1">
        <v>3</v>
      </c>
      <c r="G74" s="1">
        <f>1000+(F74*100)+VLOOKUP(E74,EquipPartMapping!$A:$B,2,FALSE)</f>
        <v>1301</v>
      </c>
      <c r="H74" s="1">
        <f>VLOOKUP(F74,TierMapping!$A:$B,2,FALSE)</f>
        <v>2301</v>
      </c>
      <c r="I74" t="s">
        <v>165</v>
      </c>
      <c r="J74" s="1"/>
      <c r="K74" s="1"/>
      <c r="L74" s="1"/>
    </row>
    <row r="75" spans="1:12" x14ac:dyDescent="0.3">
      <c r="A75" s="1">
        <v>10073</v>
      </c>
      <c r="B75" s="1" t="str">
        <f t="shared" si="1"/>
        <v>Equipment_Icon_Charm_Tier4</v>
      </c>
      <c r="C75" s="1" t="str" cm="1">
        <f t="array" ref="C75">_xlfn.IFS(F75&lt;=2, "Common", F75&lt;=4, "Uncommon", F75&lt;=6, "Rare", F75&lt;=8, "Epic", F75=9, "Legendary", F75&gt;=10, "Mythic")</f>
        <v>Uncommon</v>
      </c>
      <c r="D75" s="1" t="s">
        <v>156</v>
      </c>
      <c r="E75" s="1" t="s">
        <v>152</v>
      </c>
      <c r="F75" s="1">
        <v>4</v>
      </c>
      <c r="G75" s="1">
        <f>1000+(F75*100)+VLOOKUP(E75,EquipPartMapping!$A:$B,2,FALSE)</f>
        <v>1401</v>
      </c>
      <c r="H75" s="1">
        <f>VLOOKUP(F75,TierMapping!$A:$B,2,FALSE)</f>
        <v>2401</v>
      </c>
      <c r="I75" t="s">
        <v>166</v>
      </c>
      <c r="J75" s="1"/>
      <c r="K75" s="1"/>
      <c r="L75" s="1"/>
    </row>
    <row r="76" spans="1:12" x14ac:dyDescent="0.3">
      <c r="A76" s="1">
        <v>10074</v>
      </c>
      <c r="B76" s="1" t="str">
        <f t="shared" si="1"/>
        <v>Equipment_Icon_Charm_Tier5</v>
      </c>
      <c r="C76" s="1" t="str" cm="1">
        <f t="array" ref="C76">_xlfn.IFS(F76&lt;=2, "Common", F76&lt;=4, "Uncommon", F76&lt;=6, "Rare", F76&lt;=8, "Epic", F76=9, "Legendary", F76&gt;=10, "Mythic")</f>
        <v>Rare</v>
      </c>
      <c r="D76" s="1" t="s">
        <v>157</v>
      </c>
      <c r="E76" s="1" t="s">
        <v>152</v>
      </c>
      <c r="F76" s="1">
        <v>5</v>
      </c>
      <c r="G76" s="1">
        <f>1000+(F76*100)+VLOOKUP(E76,EquipPartMapping!$A:$B,2,FALSE)</f>
        <v>1501</v>
      </c>
      <c r="H76" s="1">
        <f>VLOOKUP(F76,TierMapping!$A:$B,2,FALSE)</f>
        <v>2501</v>
      </c>
      <c r="I76" t="s">
        <v>167</v>
      </c>
      <c r="J76" s="1"/>
      <c r="K76" s="1"/>
      <c r="L76" s="1"/>
    </row>
    <row r="77" spans="1:12" x14ac:dyDescent="0.3">
      <c r="A77" s="1">
        <v>10075</v>
      </c>
      <c r="B77" s="1" t="str">
        <f t="shared" si="1"/>
        <v>Equipment_Icon_Charm_Tier6</v>
      </c>
      <c r="C77" s="1" t="str" cm="1">
        <f t="array" ref="C77">_xlfn.IFS(F77&lt;=2, "Common", F77&lt;=4, "Uncommon", F77&lt;=6, "Rare", F77&lt;=8, "Epic", F77=9, "Legendary", F77&gt;=10, "Mythic")</f>
        <v>Rare</v>
      </c>
      <c r="D77" s="1" t="s">
        <v>158</v>
      </c>
      <c r="E77" s="1" t="s">
        <v>152</v>
      </c>
      <c r="F77" s="1">
        <v>6</v>
      </c>
      <c r="G77" s="1">
        <f>1000+(F77*100)+VLOOKUP(E77,EquipPartMapping!$A:$B,2,FALSE)</f>
        <v>1601</v>
      </c>
      <c r="H77" s="1">
        <f>VLOOKUP(F77,TierMapping!$A:$B,2,FALSE)</f>
        <v>2601</v>
      </c>
      <c r="I77" t="s">
        <v>168</v>
      </c>
      <c r="J77" s="1"/>
      <c r="K77" s="1"/>
      <c r="L77" s="1"/>
    </row>
    <row r="78" spans="1:12" x14ac:dyDescent="0.3">
      <c r="A78" s="1">
        <v>10076</v>
      </c>
      <c r="B78" s="1" t="str">
        <f t="shared" si="1"/>
        <v>Equipment_Icon_Charm_Tier7</v>
      </c>
      <c r="C78" s="1" t="str" cm="1">
        <f t="array" ref="C78">_xlfn.IFS(F78&lt;=2, "Common", F78&lt;=4, "Uncommon", F78&lt;=6, "Rare", F78&lt;=8, "Epic", F78=9, "Legendary", F78&gt;=10, "Mythic")</f>
        <v>Epic</v>
      </c>
      <c r="D78" s="1" t="s">
        <v>159</v>
      </c>
      <c r="E78" s="1" t="s">
        <v>152</v>
      </c>
      <c r="F78" s="1">
        <v>7</v>
      </c>
      <c r="G78" s="1">
        <f>1000+(F78*100)+VLOOKUP(E78,EquipPartMapping!$A:$B,2,FALSE)</f>
        <v>1701</v>
      </c>
      <c r="H78" s="1">
        <f>VLOOKUP(F78,TierMapping!$A:$B,2,FALSE)</f>
        <v>2701</v>
      </c>
      <c r="I78" t="s">
        <v>169</v>
      </c>
      <c r="J78" s="1"/>
      <c r="K78" s="1"/>
      <c r="L78" s="1"/>
    </row>
    <row r="79" spans="1:12" x14ac:dyDescent="0.3">
      <c r="A79" s="1">
        <v>10077</v>
      </c>
      <c r="B79" s="1" t="str">
        <f t="shared" si="1"/>
        <v>Equipment_Icon_Charm_Tier8</v>
      </c>
      <c r="C79" s="1" t="str" cm="1">
        <f t="array" ref="C79">_xlfn.IFS(F79&lt;=2, "Common", F79&lt;=4, "Uncommon", F79&lt;=6, "Rare", F79&lt;=8, "Epic", F79=9, "Legendary", F79&gt;=10, "Mythic")</f>
        <v>Epic</v>
      </c>
      <c r="D79" s="1" t="s">
        <v>160</v>
      </c>
      <c r="E79" s="1" t="s">
        <v>152</v>
      </c>
      <c r="F79" s="1">
        <v>8</v>
      </c>
      <c r="G79" s="1">
        <f>1000+(F79*100)+VLOOKUP(E79,EquipPartMapping!$A:$B,2,FALSE)</f>
        <v>1801</v>
      </c>
      <c r="H79" s="1">
        <f>VLOOKUP(F79,TierMapping!$A:$B,2,FALSE)</f>
        <v>2801</v>
      </c>
      <c r="I79" t="s">
        <v>170</v>
      </c>
      <c r="J79" s="1"/>
      <c r="K79" s="1"/>
      <c r="L79" s="1"/>
    </row>
    <row r="80" spans="1:12" x14ac:dyDescent="0.3">
      <c r="A80" s="1">
        <v>10078</v>
      </c>
      <c r="B80" s="1" t="str">
        <f t="shared" si="1"/>
        <v>Equipment_Icon_Charm_Tier9</v>
      </c>
      <c r="C80" s="1" t="str" cm="1">
        <f t="array" ref="C80">_xlfn.IFS(F80&lt;=2, "Common", F80&lt;=4, "Uncommon", F80&lt;=6, "Rare", F80&lt;=8, "Epic", F80=9, "Legendary", F80&gt;=10, "Mythic")</f>
        <v>Legendary</v>
      </c>
      <c r="D80" s="1" t="s">
        <v>161</v>
      </c>
      <c r="E80" s="1" t="s">
        <v>152</v>
      </c>
      <c r="F80" s="1">
        <v>9</v>
      </c>
      <c r="G80" s="1">
        <f>1000+(F80*100)+VLOOKUP(E80,EquipPartMapping!$A:$B,2,FALSE)</f>
        <v>1901</v>
      </c>
      <c r="H80" s="1">
        <f>VLOOKUP(F80,TierMapping!$A:$B,2,FALSE)</f>
        <v>2901</v>
      </c>
      <c r="I80" t="s">
        <v>171</v>
      </c>
      <c r="J80" s="1"/>
      <c r="K80" s="1"/>
      <c r="L80" s="1"/>
    </row>
    <row r="81" spans="1:12" x14ac:dyDescent="0.3">
      <c r="A81" s="1">
        <v>10079</v>
      </c>
      <c r="B81" s="1" t="str">
        <f t="shared" si="1"/>
        <v>Equipment_Icon_Charm_Tier10</v>
      </c>
      <c r="C81" s="1" t="str" cm="1">
        <f t="array" ref="C81">_xlfn.IFS(F81&lt;=2, "Common", F81&lt;=4, "Uncommon", F81&lt;=6, "Rare", F81&lt;=8, "Epic", F81=9, "Legendary", F81&gt;=10, "Mythic")</f>
        <v>Mythic</v>
      </c>
      <c r="D81" s="1" t="s">
        <v>162</v>
      </c>
      <c r="E81" s="1" t="s">
        <v>152</v>
      </c>
      <c r="F81" s="1">
        <v>10</v>
      </c>
      <c r="G81" s="1">
        <f>1000+(F81*100)+VLOOKUP(E81,EquipPartMapping!$A:$B,2,FALSE)</f>
        <v>2001</v>
      </c>
      <c r="H81" s="1">
        <f>VLOOKUP(F81,TierMapping!$A:$B,2,FALSE)</f>
        <v>3001</v>
      </c>
      <c r="I81" t="s">
        <v>172</v>
      </c>
      <c r="J81" s="1"/>
      <c r="K81" s="1"/>
      <c r="L81" s="1"/>
    </row>
    <row r="82" spans="1:12" x14ac:dyDescent="0.3">
      <c r="A82" s="1">
        <v>10080</v>
      </c>
      <c r="B82" s="1" t="str">
        <f t="shared" si="1"/>
        <v>Equipment_Icon_Watch_Tier1</v>
      </c>
      <c r="C82" s="1" t="str" cm="1">
        <f t="array" ref="C82">_xlfn.IFS(F82&lt;=2, "Common", F82&lt;=4, "Uncommon", F82&lt;=6, "Rare", F82&lt;=8, "Epic", F82=9, "Legendary", F82&gt;=10, "Mythic")</f>
        <v>Common</v>
      </c>
      <c r="D82" s="1" t="s">
        <v>174</v>
      </c>
      <c r="E82" s="1" t="s">
        <v>173</v>
      </c>
      <c r="F82" s="1">
        <v>1</v>
      </c>
      <c r="G82" s="1">
        <f>1000+(F82*100)+VLOOKUP(E82,EquipPartMapping!$A:$B,2,FALSE)</f>
        <v>1104</v>
      </c>
      <c r="H82" s="1">
        <f>VLOOKUP(F82,TierMapping!$A:$B,2,FALSE)</f>
        <v>2101</v>
      </c>
      <c r="I82" t="s">
        <v>184</v>
      </c>
      <c r="J82" s="1"/>
      <c r="K82" s="1"/>
      <c r="L82" s="1"/>
    </row>
    <row r="83" spans="1:12" x14ac:dyDescent="0.3">
      <c r="A83" s="1">
        <v>10081</v>
      </c>
      <c r="B83" s="1" t="str">
        <f t="shared" si="1"/>
        <v>Equipment_Icon_Watch_Tier2</v>
      </c>
      <c r="C83" s="1" t="str" cm="1">
        <f t="array" ref="C83">_xlfn.IFS(F83&lt;=2, "Common", F83&lt;=4, "Uncommon", F83&lt;=6, "Rare", F83&lt;=8, "Epic", F83=9, "Legendary", F83&gt;=10, "Mythic")</f>
        <v>Common</v>
      </c>
      <c r="D83" s="1" t="s">
        <v>175</v>
      </c>
      <c r="E83" s="1" t="s">
        <v>173</v>
      </c>
      <c r="F83" s="1">
        <v>2</v>
      </c>
      <c r="G83" s="1">
        <f>1000+(F83*100)+VLOOKUP(E83,EquipPartMapping!$A:$B,2,FALSE)</f>
        <v>1204</v>
      </c>
      <c r="H83" s="1">
        <f>VLOOKUP(F83,TierMapping!$A:$B,2,FALSE)</f>
        <v>2201</v>
      </c>
      <c r="I83" t="s">
        <v>185</v>
      </c>
      <c r="J83" s="1"/>
      <c r="K83" s="1"/>
      <c r="L83" s="1"/>
    </row>
    <row r="84" spans="1:12" x14ac:dyDescent="0.3">
      <c r="A84" s="1">
        <v>10082</v>
      </c>
      <c r="B84" s="1" t="str">
        <f t="shared" si="1"/>
        <v>Equipment_Icon_Watch_Tier3</v>
      </c>
      <c r="C84" s="1" t="str" cm="1">
        <f t="array" ref="C84">_xlfn.IFS(F84&lt;=2, "Common", F84&lt;=4, "Uncommon", F84&lt;=6, "Rare", F84&lt;=8, "Epic", F84=9, "Legendary", F84&gt;=10, "Mythic")</f>
        <v>Uncommon</v>
      </c>
      <c r="D84" s="1" t="s">
        <v>176</v>
      </c>
      <c r="E84" s="1" t="s">
        <v>173</v>
      </c>
      <c r="F84" s="1">
        <v>3</v>
      </c>
      <c r="G84" s="1">
        <f>1000+(F84*100)+VLOOKUP(E84,EquipPartMapping!$A:$B,2,FALSE)</f>
        <v>1304</v>
      </c>
      <c r="H84" s="1">
        <f>VLOOKUP(F84,TierMapping!$A:$B,2,FALSE)</f>
        <v>2301</v>
      </c>
      <c r="I84" t="s">
        <v>186</v>
      </c>
      <c r="J84" s="1"/>
      <c r="K84" s="1"/>
      <c r="L84" s="1"/>
    </row>
    <row r="85" spans="1:12" x14ac:dyDescent="0.3">
      <c r="A85" s="1">
        <v>10083</v>
      </c>
      <c r="B85" s="1" t="str">
        <f t="shared" si="1"/>
        <v>Equipment_Icon_Watch_Tier4</v>
      </c>
      <c r="C85" s="1" t="str" cm="1">
        <f t="array" ref="C85">_xlfn.IFS(F85&lt;=2, "Common", F85&lt;=4, "Uncommon", F85&lt;=6, "Rare", F85&lt;=8, "Epic", F85=9, "Legendary", F85&gt;=10, "Mythic")</f>
        <v>Uncommon</v>
      </c>
      <c r="D85" s="1" t="s">
        <v>177</v>
      </c>
      <c r="E85" s="1" t="s">
        <v>173</v>
      </c>
      <c r="F85" s="1">
        <v>4</v>
      </c>
      <c r="G85" s="1">
        <f>1000+(F85*100)+VLOOKUP(E85,EquipPartMapping!$A:$B,2,FALSE)</f>
        <v>1404</v>
      </c>
      <c r="H85" s="1">
        <f>VLOOKUP(F85,TierMapping!$A:$B,2,FALSE)</f>
        <v>2401</v>
      </c>
      <c r="I85" t="s">
        <v>187</v>
      </c>
      <c r="J85" s="1"/>
      <c r="K85" s="1"/>
      <c r="L85" s="1"/>
    </row>
    <row r="86" spans="1:12" x14ac:dyDescent="0.3">
      <c r="A86" s="1">
        <v>10084</v>
      </c>
      <c r="B86" s="1" t="str">
        <f t="shared" si="1"/>
        <v>Equipment_Icon_Watch_Tier5</v>
      </c>
      <c r="C86" s="1" t="str" cm="1">
        <f t="array" ref="C86">_xlfn.IFS(F86&lt;=2, "Common", F86&lt;=4, "Uncommon", F86&lt;=6, "Rare", F86&lt;=8, "Epic", F86=9, "Legendary", F86&gt;=10, "Mythic")</f>
        <v>Rare</v>
      </c>
      <c r="D86" s="1" t="s">
        <v>178</v>
      </c>
      <c r="E86" s="1" t="s">
        <v>173</v>
      </c>
      <c r="F86" s="1">
        <v>5</v>
      </c>
      <c r="G86" s="1">
        <f>1000+(F86*100)+VLOOKUP(E86,EquipPartMapping!$A:$B,2,FALSE)</f>
        <v>1504</v>
      </c>
      <c r="H86" s="1">
        <f>VLOOKUP(F86,TierMapping!$A:$B,2,FALSE)</f>
        <v>2501</v>
      </c>
      <c r="I86" t="s">
        <v>188</v>
      </c>
      <c r="J86" s="1"/>
      <c r="K86" s="1"/>
      <c r="L86" s="1"/>
    </row>
    <row r="87" spans="1:12" x14ac:dyDescent="0.3">
      <c r="A87" s="1">
        <v>10085</v>
      </c>
      <c r="B87" s="1" t="str">
        <f t="shared" si="1"/>
        <v>Equipment_Icon_Watch_Tier6</v>
      </c>
      <c r="C87" s="1" t="str" cm="1">
        <f t="array" ref="C87">_xlfn.IFS(F87&lt;=2, "Common", F87&lt;=4, "Uncommon", F87&lt;=6, "Rare", F87&lt;=8, "Epic", F87=9, "Legendary", F87&gt;=10, "Mythic")</f>
        <v>Rare</v>
      </c>
      <c r="D87" s="1" t="s">
        <v>179</v>
      </c>
      <c r="E87" s="1" t="s">
        <v>173</v>
      </c>
      <c r="F87" s="1">
        <v>6</v>
      </c>
      <c r="G87" s="1">
        <f>1000+(F87*100)+VLOOKUP(E87,EquipPartMapping!$A:$B,2,FALSE)</f>
        <v>1604</v>
      </c>
      <c r="H87" s="1">
        <f>VLOOKUP(F87,TierMapping!$A:$B,2,FALSE)</f>
        <v>2601</v>
      </c>
      <c r="I87" t="s">
        <v>189</v>
      </c>
      <c r="J87" s="1"/>
      <c r="K87" s="1"/>
      <c r="L87" s="1"/>
    </row>
    <row r="88" spans="1:12" x14ac:dyDescent="0.3">
      <c r="A88" s="1">
        <v>10086</v>
      </c>
      <c r="B88" s="1" t="str">
        <f t="shared" si="1"/>
        <v>Equipment_Icon_Watch_Tier7</v>
      </c>
      <c r="C88" s="1" t="str" cm="1">
        <f t="array" ref="C88">_xlfn.IFS(F88&lt;=2, "Common", F88&lt;=4, "Uncommon", F88&lt;=6, "Rare", F88&lt;=8, "Epic", F88=9, "Legendary", F88&gt;=10, "Mythic")</f>
        <v>Epic</v>
      </c>
      <c r="D88" s="1" t="s">
        <v>180</v>
      </c>
      <c r="E88" s="1" t="s">
        <v>173</v>
      </c>
      <c r="F88" s="1">
        <v>7</v>
      </c>
      <c r="G88" s="1">
        <f>1000+(F88*100)+VLOOKUP(E88,EquipPartMapping!$A:$B,2,FALSE)</f>
        <v>1704</v>
      </c>
      <c r="H88" s="1">
        <f>VLOOKUP(F88,TierMapping!$A:$B,2,FALSE)</f>
        <v>2701</v>
      </c>
      <c r="I88" t="s">
        <v>190</v>
      </c>
      <c r="J88" s="1"/>
      <c r="K88" s="1"/>
      <c r="L88" s="1"/>
    </row>
    <row r="89" spans="1:12" x14ac:dyDescent="0.3">
      <c r="A89" s="1">
        <v>10087</v>
      </c>
      <c r="B89" s="1" t="str">
        <f t="shared" si="1"/>
        <v>Equipment_Icon_Watch_Tier8</v>
      </c>
      <c r="C89" s="1" t="str" cm="1">
        <f t="array" ref="C89">_xlfn.IFS(F89&lt;=2, "Common", F89&lt;=4, "Uncommon", F89&lt;=6, "Rare", F89&lt;=8, "Epic", F89=9, "Legendary", F89&gt;=10, "Mythic")</f>
        <v>Epic</v>
      </c>
      <c r="D89" s="1" t="s">
        <v>181</v>
      </c>
      <c r="E89" s="1" t="s">
        <v>173</v>
      </c>
      <c r="F89" s="1">
        <v>8</v>
      </c>
      <c r="G89" s="1">
        <f>1000+(F89*100)+VLOOKUP(E89,EquipPartMapping!$A:$B,2,FALSE)</f>
        <v>1804</v>
      </c>
      <c r="H89" s="1">
        <f>VLOOKUP(F89,TierMapping!$A:$B,2,FALSE)</f>
        <v>2801</v>
      </c>
      <c r="I89" t="s">
        <v>191</v>
      </c>
      <c r="J89" s="1"/>
      <c r="K89" s="1"/>
      <c r="L89" s="1"/>
    </row>
    <row r="90" spans="1:12" x14ac:dyDescent="0.3">
      <c r="A90" s="1">
        <v>10088</v>
      </c>
      <c r="B90" s="1" t="str">
        <f t="shared" si="1"/>
        <v>Equipment_Icon_Watch_Tier9</v>
      </c>
      <c r="C90" s="1" t="str" cm="1">
        <f t="array" ref="C90">_xlfn.IFS(F90&lt;=2, "Common", F90&lt;=4, "Uncommon", F90&lt;=6, "Rare", F90&lt;=8, "Epic", F90=9, "Legendary", F90&gt;=10, "Mythic")</f>
        <v>Legendary</v>
      </c>
      <c r="D90" s="1" t="s">
        <v>182</v>
      </c>
      <c r="E90" s="1" t="s">
        <v>173</v>
      </c>
      <c r="F90" s="1">
        <v>9</v>
      </c>
      <c r="G90" s="1">
        <f>1000+(F90*100)+VLOOKUP(E90,EquipPartMapping!$A:$B,2,FALSE)</f>
        <v>1904</v>
      </c>
      <c r="H90" s="1">
        <f>VLOOKUP(F90,TierMapping!$A:$B,2,FALSE)</f>
        <v>2901</v>
      </c>
      <c r="I90" t="s">
        <v>192</v>
      </c>
      <c r="J90" s="1"/>
      <c r="K90" s="1"/>
      <c r="L90" s="1"/>
    </row>
    <row r="91" spans="1:12" x14ac:dyDescent="0.3">
      <c r="A91" s="1">
        <v>10089</v>
      </c>
      <c r="B91" s="1" t="str">
        <f t="shared" si="1"/>
        <v>Equipment_Icon_Watch_Tier10</v>
      </c>
      <c r="C91" s="1" t="str" cm="1">
        <f t="array" ref="C91">_xlfn.IFS(F91&lt;=2, "Common", F91&lt;=4, "Uncommon", F91&lt;=6, "Rare", F91&lt;=8, "Epic", F91=9, "Legendary", F91&gt;=10, "Mythic")</f>
        <v>Mythic</v>
      </c>
      <c r="D91" s="1" t="s">
        <v>183</v>
      </c>
      <c r="E91" s="1" t="s">
        <v>173</v>
      </c>
      <c r="F91" s="1">
        <v>10</v>
      </c>
      <c r="G91" s="1">
        <f>1000+(F91*100)+VLOOKUP(E91,EquipPartMapping!$A:$B,2,FALSE)</f>
        <v>2004</v>
      </c>
      <c r="H91" s="1">
        <f>VLOOKUP(F91,TierMapping!$A:$B,2,FALSE)</f>
        <v>3001</v>
      </c>
      <c r="I91" t="s">
        <v>193</v>
      </c>
      <c r="J91" s="1"/>
      <c r="K91" s="1"/>
      <c r="L9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E214-A039-49B7-9844-1C90A70A95C0}">
  <dimension ref="A1:B16"/>
  <sheetViews>
    <sheetView workbookViewId="0">
      <selection activeCell="D11" sqref="D11"/>
    </sheetView>
  </sheetViews>
  <sheetFormatPr defaultRowHeight="16.5" x14ac:dyDescent="0.3"/>
  <cols>
    <col min="2" max="2" width="28.875" customWidth="1"/>
  </cols>
  <sheetData>
    <row r="1" spans="1:2" x14ac:dyDescent="0.3">
      <c r="A1" s="1" t="s">
        <v>307</v>
      </c>
      <c r="B1" s="1" t="s">
        <v>324</v>
      </c>
    </row>
    <row r="2" spans="1:2" x14ac:dyDescent="0.3">
      <c r="A2" s="1">
        <v>1</v>
      </c>
      <c r="B2" s="1">
        <v>100</v>
      </c>
    </row>
    <row r="3" spans="1:2" x14ac:dyDescent="0.3">
      <c r="A3" s="1">
        <v>2</v>
      </c>
      <c r="B3" s="1">
        <v>200</v>
      </c>
    </row>
    <row r="4" spans="1:2" x14ac:dyDescent="0.3">
      <c r="A4" s="1">
        <v>3</v>
      </c>
      <c r="B4" s="1">
        <v>400</v>
      </c>
    </row>
    <row r="5" spans="1:2" x14ac:dyDescent="0.3">
      <c r="A5" s="1">
        <v>4</v>
      </c>
      <c r="B5" s="1">
        <v>600</v>
      </c>
    </row>
    <row r="6" spans="1:2" x14ac:dyDescent="0.3">
      <c r="A6" s="1">
        <v>5</v>
      </c>
      <c r="B6" s="1">
        <v>800</v>
      </c>
    </row>
    <row r="7" spans="1:2" x14ac:dyDescent="0.3">
      <c r="A7" s="1">
        <v>6</v>
      </c>
      <c r="B7" s="1">
        <v>1000</v>
      </c>
    </row>
    <row r="8" spans="1:2" x14ac:dyDescent="0.3">
      <c r="A8" s="1">
        <v>7</v>
      </c>
      <c r="B8" s="1">
        <v>1300</v>
      </c>
    </row>
    <row r="9" spans="1:2" x14ac:dyDescent="0.3">
      <c r="A9" s="1">
        <v>8</v>
      </c>
      <c r="B9" s="1">
        <v>1800</v>
      </c>
    </row>
    <row r="10" spans="1:2" x14ac:dyDescent="0.3">
      <c r="A10" s="1">
        <v>9</v>
      </c>
      <c r="B10" s="1">
        <v>2300</v>
      </c>
    </row>
    <row r="11" spans="1:2" x14ac:dyDescent="0.3">
      <c r="A11" s="1">
        <v>10</v>
      </c>
      <c r="B11" s="1">
        <v>2600</v>
      </c>
    </row>
    <row r="12" spans="1:2" x14ac:dyDescent="0.3">
      <c r="A12" s="1">
        <v>11</v>
      </c>
      <c r="B12" s="1">
        <v>3300</v>
      </c>
    </row>
    <row r="13" spans="1:2" x14ac:dyDescent="0.3">
      <c r="A13" s="1">
        <v>12</v>
      </c>
      <c r="B13" s="1">
        <v>4000</v>
      </c>
    </row>
    <row r="14" spans="1:2" x14ac:dyDescent="0.3">
      <c r="A14" s="1">
        <v>13</v>
      </c>
      <c r="B14" s="1">
        <v>5000</v>
      </c>
    </row>
    <row r="15" spans="1:2" x14ac:dyDescent="0.3">
      <c r="A15" s="1">
        <v>14</v>
      </c>
      <c r="B15" s="1">
        <v>6500</v>
      </c>
    </row>
    <row r="16" spans="1:2" x14ac:dyDescent="0.3">
      <c r="A16" s="1">
        <v>15</v>
      </c>
      <c r="B16" s="1">
        <v>8000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9CBF-16F0-4014-ACF0-E33138DCDC5F}">
  <dimension ref="A1:G231"/>
  <sheetViews>
    <sheetView workbookViewId="0">
      <selection activeCell="E34" sqref="E34"/>
    </sheetView>
  </sheetViews>
  <sheetFormatPr defaultRowHeight="16.5" x14ac:dyDescent="0.3"/>
  <cols>
    <col min="1" max="1" width="8.25" customWidth="1"/>
    <col min="2" max="2" width="18.25" customWidth="1"/>
    <col min="3" max="3" width="9.125" customWidth="1"/>
    <col min="4" max="4" width="12.125" customWidth="1"/>
    <col min="5" max="5" width="18.5" customWidth="1"/>
    <col min="6" max="6" width="18.625" customWidth="1"/>
    <col min="7" max="7" width="115.25" customWidth="1"/>
  </cols>
  <sheetData>
    <row r="1" spans="1:7" x14ac:dyDescent="0.3">
      <c r="A1" s="1" t="s">
        <v>215</v>
      </c>
      <c r="B1" s="1" t="s">
        <v>216</v>
      </c>
      <c r="C1" s="1" t="s">
        <v>217</v>
      </c>
      <c r="D1" s="1" t="s">
        <v>218</v>
      </c>
      <c r="E1" s="2" t="s">
        <v>333</v>
      </c>
      <c r="F1" s="2" t="s">
        <v>334</v>
      </c>
      <c r="G1" s="1" t="s">
        <v>219</v>
      </c>
    </row>
    <row r="2" spans="1:7" x14ac:dyDescent="0.3">
      <c r="A2" s="1">
        <v>1101</v>
      </c>
      <c r="B2" s="1" t="s">
        <v>220</v>
      </c>
      <c r="C2" s="1">
        <v>1000</v>
      </c>
      <c r="D2" s="1">
        <v>100</v>
      </c>
      <c r="E2" s="2">
        <v>25</v>
      </c>
      <c r="F2" s="2">
        <v>25</v>
      </c>
      <c r="G2" s="1" t="s">
        <v>239</v>
      </c>
    </row>
    <row r="3" spans="1:7" x14ac:dyDescent="0.3">
      <c r="A3" s="1">
        <v>1102</v>
      </c>
      <c r="B3" s="1" t="s">
        <v>221</v>
      </c>
      <c r="C3" s="1">
        <v>1000</v>
      </c>
      <c r="D3" s="1">
        <v>10</v>
      </c>
      <c r="E3" s="2">
        <v>3</v>
      </c>
      <c r="F3" s="2">
        <v>3</v>
      </c>
      <c r="G3" s="1" t="s">
        <v>240</v>
      </c>
    </row>
    <row r="4" spans="1:7" x14ac:dyDescent="0.3">
      <c r="A4" s="1">
        <v>1103</v>
      </c>
      <c r="B4" s="1" t="s">
        <v>222</v>
      </c>
      <c r="C4" s="1">
        <v>260</v>
      </c>
      <c r="D4" s="1">
        <v>0.05</v>
      </c>
      <c r="E4" s="2">
        <v>0.01</v>
      </c>
      <c r="F4" s="2">
        <v>0.01</v>
      </c>
      <c r="G4" s="1" t="s">
        <v>241</v>
      </c>
    </row>
    <row r="5" spans="1:7" x14ac:dyDescent="0.3">
      <c r="A5" s="1">
        <v>1103</v>
      </c>
      <c r="B5" s="1" t="s">
        <v>223</v>
      </c>
      <c r="C5" s="1">
        <v>260</v>
      </c>
      <c r="D5" s="1">
        <v>0.05</v>
      </c>
      <c r="E5" s="2">
        <v>0.01</v>
      </c>
      <c r="F5" s="2">
        <v>0.01</v>
      </c>
      <c r="G5" s="1" t="s">
        <v>241</v>
      </c>
    </row>
    <row r="6" spans="1:7" x14ac:dyDescent="0.3">
      <c r="A6" s="1">
        <v>1103</v>
      </c>
      <c r="B6" s="1" t="s">
        <v>224</v>
      </c>
      <c r="C6" s="1">
        <v>260</v>
      </c>
      <c r="D6" s="1">
        <v>0.06</v>
      </c>
      <c r="E6" s="2">
        <v>1.2E-2</v>
      </c>
      <c r="F6" s="2">
        <v>1.2E-2</v>
      </c>
      <c r="G6" s="1" t="s">
        <v>241</v>
      </c>
    </row>
    <row r="7" spans="1:7" x14ac:dyDescent="0.3">
      <c r="A7" s="1">
        <v>1103</v>
      </c>
      <c r="B7" s="1" t="s">
        <v>225</v>
      </c>
      <c r="C7" s="1">
        <v>110</v>
      </c>
      <c r="D7" s="1">
        <v>0.03</v>
      </c>
      <c r="E7" s="2">
        <v>8.0000000000000002E-3</v>
      </c>
      <c r="F7" s="2">
        <v>8.0000000000000002E-3</v>
      </c>
      <c r="G7" s="1" t="s">
        <v>241</v>
      </c>
    </row>
    <row r="8" spans="1:7" x14ac:dyDescent="0.3">
      <c r="A8" s="1">
        <v>1103</v>
      </c>
      <c r="B8" s="1" t="s">
        <v>226</v>
      </c>
      <c r="C8" s="1">
        <v>110</v>
      </c>
      <c r="D8" s="1">
        <v>0.05</v>
      </c>
      <c r="E8" s="2">
        <v>1.2E-2</v>
      </c>
      <c r="F8" s="2">
        <v>1.2E-2</v>
      </c>
      <c r="G8" s="1" t="s">
        <v>241</v>
      </c>
    </row>
    <row r="9" spans="1:7" x14ac:dyDescent="0.3">
      <c r="A9" s="1">
        <v>1104</v>
      </c>
      <c r="B9" s="1" t="s">
        <v>222</v>
      </c>
      <c r="C9" s="1">
        <v>250</v>
      </c>
      <c r="D9" s="1">
        <v>0.05</v>
      </c>
      <c r="E9" s="2">
        <v>0.01</v>
      </c>
      <c r="F9" s="2">
        <v>0.01</v>
      </c>
      <c r="G9" s="1" t="s">
        <v>242</v>
      </c>
    </row>
    <row r="10" spans="1:7" x14ac:dyDescent="0.3">
      <c r="A10" s="1">
        <v>1104</v>
      </c>
      <c r="B10" s="1" t="s">
        <v>223</v>
      </c>
      <c r="C10" s="1">
        <v>250</v>
      </c>
      <c r="D10" s="1">
        <v>0.05</v>
      </c>
      <c r="E10" s="2">
        <v>0.01</v>
      </c>
      <c r="F10" s="2">
        <v>0.01</v>
      </c>
      <c r="G10" s="1" t="s">
        <v>242</v>
      </c>
    </row>
    <row r="11" spans="1:7" x14ac:dyDescent="0.3">
      <c r="A11" s="1">
        <v>1104</v>
      </c>
      <c r="B11" s="1" t="s">
        <v>224</v>
      </c>
      <c r="C11" s="1">
        <v>250</v>
      </c>
      <c r="D11" s="1">
        <v>0.06</v>
      </c>
      <c r="E11" s="2">
        <v>1.2E-2</v>
      </c>
      <c r="F11" s="2">
        <v>1.2E-2</v>
      </c>
      <c r="G11" s="1" t="s">
        <v>242</v>
      </c>
    </row>
    <row r="12" spans="1:7" x14ac:dyDescent="0.3">
      <c r="A12" s="1">
        <v>1104</v>
      </c>
      <c r="B12" s="1" t="s">
        <v>225</v>
      </c>
      <c r="C12" s="1">
        <v>100</v>
      </c>
      <c r="D12" s="1">
        <v>0.03</v>
      </c>
      <c r="E12" s="2">
        <v>8.0000000000000002E-3</v>
      </c>
      <c r="F12" s="2">
        <v>8.0000000000000002E-3</v>
      </c>
      <c r="G12" s="1" t="s">
        <v>242</v>
      </c>
    </row>
    <row r="13" spans="1:7" x14ac:dyDescent="0.3">
      <c r="A13" s="1">
        <v>1104</v>
      </c>
      <c r="B13" s="1" t="s">
        <v>226</v>
      </c>
      <c r="C13" s="1">
        <v>100</v>
      </c>
      <c r="D13" s="1">
        <v>0.05</v>
      </c>
      <c r="E13" s="2">
        <v>1.2E-2</v>
      </c>
      <c r="F13" s="2">
        <v>1.2E-2</v>
      </c>
      <c r="G13" s="1" t="s">
        <v>242</v>
      </c>
    </row>
    <row r="14" spans="1:7" x14ac:dyDescent="0.3">
      <c r="A14" s="1">
        <v>1104</v>
      </c>
      <c r="B14" s="1" t="s">
        <v>243</v>
      </c>
      <c r="C14" s="1">
        <v>50</v>
      </c>
      <c r="D14" s="1">
        <v>0.06</v>
      </c>
      <c r="E14" s="2">
        <v>1.2E-2</v>
      </c>
      <c r="F14" s="2">
        <v>1.2E-2</v>
      </c>
      <c r="G14" s="1" t="s">
        <v>242</v>
      </c>
    </row>
    <row r="15" spans="1:7" x14ac:dyDescent="0.3">
      <c r="A15" s="1">
        <v>2101</v>
      </c>
      <c r="B15" s="1" t="s">
        <v>220</v>
      </c>
      <c r="C15" s="1">
        <v>6</v>
      </c>
      <c r="D15" s="1">
        <v>50</v>
      </c>
      <c r="E15" s="2">
        <v>9.5</v>
      </c>
      <c r="F15" s="2">
        <v>14.5</v>
      </c>
      <c r="G15" s="1" t="s">
        <v>227</v>
      </c>
    </row>
    <row r="16" spans="1:7" x14ac:dyDescent="0.3">
      <c r="A16" s="1">
        <v>2101</v>
      </c>
      <c r="B16" s="1" t="s">
        <v>221</v>
      </c>
      <c r="C16" s="1">
        <v>6</v>
      </c>
      <c r="D16" s="1">
        <v>5</v>
      </c>
      <c r="E16" s="2">
        <v>1</v>
      </c>
      <c r="F16" s="2">
        <v>2</v>
      </c>
      <c r="G16" s="1" t="s">
        <v>227</v>
      </c>
    </row>
    <row r="17" spans="1:7" x14ac:dyDescent="0.3">
      <c r="A17" s="1">
        <v>2101</v>
      </c>
      <c r="B17" s="1" t="s">
        <v>228</v>
      </c>
      <c r="C17" s="1">
        <v>6</v>
      </c>
      <c r="D17" s="1">
        <v>5</v>
      </c>
      <c r="E17" s="2">
        <v>1</v>
      </c>
      <c r="F17" s="2">
        <v>2</v>
      </c>
      <c r="G17" s="1" t="s">
        <v>227</v>
      </c>
    </row>
    <row r="18" spans="1:7" x14ac:dyDescent="0.3">
      <c r="A18" s="1">
        <v>2101</v>
      </c>
      <c r="B18" s="1" t="s">
        <v>222</v>
      </c>
      <c r="C18" s="1">
        <v>4</v>
      </c>
      <c r="D18" s="1">
        <v>0.03</v>
      </c>
      <c r="E18" s="2">
        <v>6.4000000000000003E-3</v>
      </c>
      <c r="F18" s="2">
        <v>9.5999999999999992E-3</v>
      </c>
      <c r="G18" s="1" t="s">
        <v>227</v>
      </c>
    </row>
    <row r="19" spans="1:7" x14ac:dyDescent="0.3">
      <c r="A19" s="1">
        <v>2101</v>
      </c>
      <c r="B19" s="1" t="s">
        <v>223</v>
      </c>
      <c r="C19" s="1">
        <v>4</v>
      </c>
      <c r="D19" s="1">
        <v>0.03</v>
      </c>
      <c r="E19" s="2">
        <v>6.4000000000000003E-3</v>
      </c>
      <c r="F19" s="2">
        <v>9.5999999999999992E-3</v>
      </c>
      <c r="G19" s="1" t="s">
        <v>227</v>
      </c>
    </row>
    <row r="20" spans="1:7" x14ac:dyDescent="0.3">
      <c r="A20" s="1">
        <v>2101</v>
      </c>
      <c r="B20" s="1" t="s">
        <v>224</v>
      </c>
      <c r="C20" s="1">
        <v>4</v>
      </c>
      <c r="D20" s="1">
        <v>0.04</v>
      </c>
      <c r="E20" s="2">
        <v>8.0000000000000002E-3</v>
      </c>
      <c r="F20" s="2">
        <v>1.2E-2</v>
      </c>
      <c r="G20" s="1" t="s">
        <v>227</v>
      </c>
    </row>
    <row r="21" spans="1:7" x14ac:dyDescent="0.3">
      <c r="A21" s="1">
        <v>2101</v>
      </c>
      <c r="B21" s="1" t="s">
        <v>229</v>
      </c>
      <c r="C21" s="1">
        <v>4</v>
      </c>
      <c r="D21" s="1">
        <v>0.01</v>
      </c>
      <c r="E21" s="2">
        <v>2.3999999999999998E-3</v>
      </c>
      <c r="F21" s="2">
        <v>3.5999999999999999E-3</v>
      </c>
      <c r="G21" s="1" t="s">
        <v>227</v>
      </c>
    </row>
    <row r="22" spans="1:7" x14ac:dyDescent="0.3">
      <c r="A22" s="1">
        <v>2101</v>
      </c>
      <c r="B22" s="1" t="s">
        <v>243</v>
      </c>
      <c r="C22" s="1">
        <v>4</v>
      </c>
      <c r="D22" s="1">
        <v>0.04</v>
      </c>
      <c r="E22" s="2">
        <v>8.0000000000000002E-3</v>
      </c>
      <c r="F22" s="2">
        <v>1.2E-2</v>
      </c>
      <c r="G22" s="1" t="s">
        <v>227</v>
      </c>
    </row>
    <row r="23" spans="1:7" x14ac:dyDescent="0.3">
      <c r="A23" s="1">
        <v>2101</v>
      </c>
      <c r="B23" s="1" t="s">
        <v>225</v>
      </c>
      <c r="C23" s="1">
        <v>3</v>
      </c>
      <c r="D23" s="1">
        <v>0.02</v>
      </c>
      <c r="E23" s="2">
        <v>4.0000000000000001E-3</v>
      </c>
      <c r="F23" s="2">
        <v>6.0000000000000001E-3</v>
      </c>
      <c r="G23" s="1" t="s">
        <v>227</v>
      </c>
    </row>
    <row r="24" spans="1:7" x14ac:dyDescent="0.3">
      <c r="A24" s="1">
        <v>2101</v>
      </c>
      <c r="B24" s="1" t="s">
        <v>226</v>
      </c>
      <c r="C24" s="1">
        <v>3</v>
      </c>
      <c r="D24" s="1">
        <v>0.04</v>
      </c>
      <c r="E24" s="2">
        <v>8.0000000000000002E-3</v>
      </c>
      <c r="F24" s="2">
        <v>1.2E-2</v>
      </c>
      <c r="G24" s="1" t="s">
        <v>227</v>
      </c>
    </row>
    <row r="25" spans="1:7" x14ac:dyDescent="0.3">
      <c r="A25" s="1">
        <v>1201</v>
      </c>
      <c r="B25" s="1" t="s">
        <v>220</v>
      </c>
      <c r="C25" s="1">
        <v>1000</v>
      </c>
      <c r="D25" s="1">
        <v>130</v>
      </c>
      <c r="E25" s="2">
        <v>32.5</v>
      </c>
      <c r="F25" s="2">
        <v>32.5</v>
      </c>
      <c r="G25" s="1" t="s">
        <v>244</v>
      </c>
    </row>
    <row r="26" spans="1:7" x14ac:dyDescent="0.3">
      <c r="A26" s="1">
        <v>1202</v>
      </c>
      <c r="B26" s="1" t="s">
        <v>221</v>
      </c>
      <c r="C26" s="1">
        <v>1000</v>
      </c>
      <c r="D26" s="1">
        <v>13</v>
      </c>
      <c r="E26" s="2">
        <v>3.9</v>
      </c>
      <c r="F26" s="2">
        <v>3.9</v>
      </c>
      <c r="G26" s="1" t="s">
        <v>245</v>
      </c>
    </row>
    <row r="27" spans="1:7" x14ac:dyDescent="0.3">
      <c r="A27" s="1">
        <v>1203</v>
      </c>
      <c r="B27" s="1" t="s">
        <v>222</v>
      </c>
      <c r="C27" s="1">
        <v>260</v>
      </c>
      <c r="D27" s="1">
        <v>6.5000000000000002E-2</v>
      </c>
      <c r="E27" s="2">
        <v>1.2999999999999999E-2</v>
      </c>
      <c r="F27" s="2">
        <v>1.2999999999999999E-2</v>
      </c>
      <c r="G27" s="1" t="s">
        <v>246</v>
      </c>
    </row>
    <row r="28" spans="1:7" x14ac:dyDescent="0.3">
      <c r="A28" s="1">
        <v>1203</v>
      </c>
      <c r="B28" s="1" t="s">
        <v>223</v>
      </c>
      <c r="C28" s="1">
        <v>260</v>
      </c>
      <c r="D28" s="1">
        <v>6.5000000000000002E-2</v>
      </c>
      <c r="E28" s="2">
        <v>1.2999999999999999E-2</v>
      </c>
      <c r="F28" s="2">
        <v>1.2999999999999999E-2</v>
      </c>
      <c r="G28" s="1" t="s">
        <v>246</v>
      </c>
    </row>
    <row r="29" spans="1:7" x14ac:dyDescent="0.3">
      <c r="A29" s="1">
        <v>1203</v>
      </c>
      <c r="B29" s="1" t="s">
        <v>224</v>
      </c>
      <c r="C29" s="1">
        <v>260</v>
      </c>
      <c r="D29" s="1">
        <v>7.8E-2</v>
      </c>
      <c r="E29" s="2">
        <v>1.5599999999999999E-2</v>
      </c>
      <c r="F29" s="2">
        <v>1.5599999999999999E-2</v>
      </c>
      <c r="G29" s="1" t="s">
        <v>246</v>
      </c>
    </row>
    <row r="30" spans="1:7" x14ac:dyDescent="0.3">
      <c r="A30" s="1">
        <v>1203</v>
      </c>
      <c r="B30" s="1" t="s">
        <v>225</v>
      </c>
      <c r="C30" s="1">
        <v>110</v>
      </c>
      <c r="D30" s="1">
        <v>3.9E-2</v>
      </c>
      <c r="E30" s="2">
        <v>1.04E-2</v>
      </c>
      <c r="F30" s="2">
        <v>1.04E-2</v>
      </c>
      <c r="G30" s="1" t="s">
        <v>246</v>
      </c>
    </row>
    <row r="31" spans="1:7" x14ac:dyDescent="0.3">
      <c r="A31" s="1">
        <v>1203</v>
      </c>
      <c r="B31" s="1" t="s">
        <v>226</v>
      </c>
      <c r="C31" s="1">
        <v>110</v>
      </c>
      <c r="D31" s="1">
        <v>6.5000000000000002E-2</v>
      </c>
      <c r="E31" s="2">
        <v>1.5599999999999999E-2</v>
      </c>
      <c r="F31" s="2">
        <v>1.5599999999999999E-2</v>
      </c>
      <c r="G31" s="1" t="s">
        <v>246</v>
      </c>
    </row>
    <row r="32" spans="1:7" x14ac:dyDescent="0.3">
      <c r="A32" s="1">
        <v>1204</v>
      </c>
      <c r="B32" s="1" t="s">
        <v>222</v>
      </c>
      <c r="C32" s="1">
        <v>250</v>
      </c>
      <c r="D32" s="1">
        <v>6.5000000000000002E-2</v>
      </c>
      <c r="E32" s="2">
        <v>1.2999999999999999E-2</v>
      </c>
      <c r="F32" s="2">
        <v>1.2999999999999999E-2</v>
      </c>
      <c r="G32" s="1" t="s">
        <v>247</v>
      </c>
    </row>
    <row r="33" spans="1:7" x14ac:dyDescent="0.3">
      <c r="A33" s="1">
        <v>1204</v>
      </c>
      <c r="B33" s="1" t="s">
        <v>223</v>
      </c>
      <c r="C33" s="1">
        <v>250</v>
      </c>
      <c r="D33" s="1">
        <v>6.5000000000000002E-2</v>
      </c>
      <c r="E33" s="2">
        <v>1.2999999999999999E-2</v>
      </c>
      <c r="F33" s="2">
        <v>1.2999999999999999E-2</v>
      </c>
      <c r="G33" s="1" t="s">
        <v>247</v>
      </c>
    </row>
    <row r="34" spans="1:7" x14ac:dyDescent="0.3">
      <c r="A34" s="1">
        <v>1204</v>
      </c>
      <c r="B34" s="1" t="s">
        <v>224</v>
      </c>
      <c r="C34" s="1">
        <v>250</v>
      </c>
      <c r="D34" s="1">
        <v>7.8E-2</v>
      </c>
      <c r="E34" s="2">
        <v>1.5599999999999999E-2</v>
      </c>
      <c r="F34" s="2">
        <v>1.5599999999999999E-2</v>
      </c>
      <c r="G34" s="1" t="s">
        <v>247</v>
      </c>
    </row>
    <row r="35" spans="1:7" x14ac:dyDescent="0.3">
      <c r="A35" s="1">
        <v>1204</v>
      </c>
      <c r="B35" s="1" t="s">
        <v>225</v>
      </c>
      <c r="C35" s="1">
        <v>100</v>
      </c>
      <c r="D35" s="1">
        <v>3.9E-2</v>
      </c>
      <c r="E35" s="2">
        <v>1.04E-2</v>
      </c>
      <c r="F35" s="2">
        <v>1.04E-2</v>
      </c>
      <c r="G35" s="1" t="s">
        <v>247</v>
      </c>
    </row>
    <row r="36" spans="1:7" x14ac:dyDescent="0.3">
      <c r="A36" s="1">
        <v>1204</v>
      </c>
      <c r="B36" s="1" t="s">
        <v>226</v>
      </c>
      <c r="C36" s="1">
        <v>100</v>
      </c>
      <c r="D36" s="1">
        <v>6.5000000000000002E-2</v>
      </c>
      <c r="E36" s="2">
        <v>1.5599999999999999E-2</v>
      </c>
      <c r="F36" s="2">
        <v>1.5599999999999999E-2</v>
      </c>
      <c r="G36" s="1" t="s">
        <v>247</v>
      </c>
    </row>
    <row r="37" spans="1:7" x14ac:dyDescent="0.3">
      <c r="A37" s="1">
        <v>1204</v>
      </c>
      <c r="B37" s="1" t="s">
        <v>243</v>
      </c>
      <c r="C37" s="1">
        <v>50</v>
      </c>
      <c r="D37" s="1">
        <v>7.8E-2</v>
      </c>
      <c r="E37" s="2">
        <v>1.5599999999999999E-2</v>
      </c>
      <c r="F37" s="2">
        <v>1.5599999999999999E-2</v>
      </c>
      <c r="G37" s="1" t="s">
        <v>247</v>
      </c>
    </row>
    <row r="38" spans="1:7" x14ac:dyDescent="0.3">
      <c r="A38" s="1">
        <v>2201</v>
      </c>
      <c r="B38" s="1" t="s">
        <v>220</v>
      </c>
      <c r="C38" s="1">
        <v>6</v>
      </c>
      <c r="D38" s="1">
        <v>65</v>
      </c>
      <c r="E38" s="2">
        <v>12.5</v>
      </c>
      <c r="F38" s="2">
        <v>18.5</v>
      </c>
      <c r="G38" s="1" t="s">
        <v>230</v>
      </c>
    </row>
    <row r="39" spans="1:7" x14ac:dyDescent="0.3">
      <c r="A39" s="1">
        <v>2201</v>
      </c>
      <c r="B39" s="1" t="s">
        <v>221</v>
      </c>
      <c r="C39" s="1">
        <v>6</v>
      </c>
      <c r="D39" s="1">
        <v>6.5</v>
      </c>
      <c r="E39" s="2">
        <v>1.5</v>
      </c>
      <c r="F39" s="2">
        <v>2.5</v>
      </c>
      <c r="G39" s="1" t="s">
        <v>230</v>
      </c>
    </row>
    <row r="40" spans="1:7" x14ac:dyDescent="0.3">
      <c r="A40" s="1">
        <v>2201</v>
      </c>
      <c r="B40" s="1" t="s">
        <v>228</v>
      </c>
      <c r="C40" s="1">
        <v>6</v>
      </c>
      <c r="D40" s="1">
        <v>6.5</v>
      </c>
      <c r="E40" s="2">
        <v>1.5</v>
      </c>
      <c r="F40" s="2">
        <v>2.5</v>
      </c>
      <c r="G40" s="1" t="s">
        <v>230</v>
      </c>
    </row>
    <row r="41" spans="1:7" x14ac:dyDescent="0.3">
      <c r="A41" s="1">
        <v>2201</v>
      </c>
      <c r="B41" s="1" t="s">
        <v>222</v>
      </c>
      <c r="C41" s="1">
        <v>4</v>
      </c>
      <c r="D41" s="1">
        <v>3.9E-2</v>
      </c>
      <c r="E41" s="2">
        <v>8.3000000000000001E-3</v>
      </c>
      <c r="F41" s="2">
        <v>1.2500000000000001E-2</v>
      </c>
      <c r="G41" s="1" t="s">
        <v>230</v>
      </c>
    </row>
    <row r="42" spans="1:7" x14ac:dyDescent="0.3">
      <c r="A42" s="1">
        <v>2201</v>
      </c>
      <c r="B42" s="1" t="s">
        <v>223</v>
      </c>
      <c r="C42" s="1">
        <v>4</v>
      </c>
      <c r="D42" s="1">
        <v>3.9E-2</v>
      </c>
      <c r="E42" s="2">
        <v>8.3000000000000001E-3</v>
      </c>
      <c r="F42" s="2">
        <v>1.2500000000000001E-2</v>
      </c>
      <c r="G42" s="1" t="s">
        <v>230</v>
      </c>
    </row>
    <row r="43" spans="1:7" x14ac:dyDescent="0.3">
      <c r="A43" s="1">
        <v>2201</v>
      </c>
      <c r="B43" s="1" t="s">
        <v>224</v>
      </c>
      <c r="C43" s="1">
        <v>4</v>
      </c>
      <c r="D43" s="1">
        <v>5.1999999999999998E-2</v>
      </c>
      <c r="E43" s="2">
        <v>1.04E-2</v>
      </c>
      <c r="F43" s="2">
        <v>1.5599999999999999E-2</v>
      </c>
      <c r="G43" s="1" t="s">
        <v>230</v>
      </c>
    </row>
    <row r="44" spans="1:7" x14ac:dyDescent="0.3">
      <c r="A44" s="1">
        <v>2201</v>
      </c>
      <c r="B44" s="1" t="s">
        <v>229</v>
      </c>
      <c r="C44" s="1">
        <v>4</v>
      </c>
      <c r="D44" s="1">
        <v>1.2999999999999999E-2</v>
      </c>
      <c r="E44" s="2">
        <v>3.0999999999999999E-3</v>
      </c>
      <c r="F44" s="2">
        <v>4.7000000000000002E-3</v>
      </c>
      <c r="G44" s="1" t="s">
        <v>230</v>
      </c>
    </row>
    <row r="45" spans="1:7" x14ac:dyDescent="0.3">
      <c r="A45" s="1">
        <v>2201</v>
      </c>
      <c r="B45" s="1" t="s">
        <v>243</v>
      </c>
      <c r="C45" s="1">
        <v>4</v>
      </c>
      <c r="D45" s="1">
        <v>5.1999999999999998E-2</v>
      </c>
      <c r="E45" s="2">
        <v>1.04E-2</v>
      </c>
      <c r="F45" s="2">
        <v>1.5599999999999999E-2</v>
      </c>
      <c r="G45" s="1" t="s">
        <v>230</v>
      </c>
    </row>
    <row r="46" spans="1:7" x14ac:dyDescent="0.3">
      <c r="A46" s="1">
        <v>2201</v>
      </c>
      <c r="B46" s="1" t="s">
        <v>225</v>
      </c>
      <c r="C46" s="1">
        <v>3</v>
      </c>
      <c r="D46" s="1">
        <v>2.5999999999999999E-2</v>
      </c>
      <c r="E46" s="2">
        <v>5.1999999999999998E-3</v>
      </c>
      <c r="F46" s="2">
        <v>7.7999999999999996E-3</v>
      </c>
      <c r="G46" s="1" t="s">
        <v>230</v>
      </c>
    </row>
    <row r="47" spans="1:7" x14ac:dyDescent="0.3">
      <c r="A47" s="1">
        <v>2201</v>
      </c>
      <c r="B47" s="1" t="s">
        <v>226</v>
      </c>
      <c r="C47" s="1">
        <v>3</v>
      </c>
      <c r="D47" s="1">
        <v>5.1999999999999998E-2</v>
      </c>
      <c r="E47" s="2">
        <v>1.04E-2</v>
      </c>
      <c r="F47" s="2">
        <v>1.5599999999999999E-2</v>
      </c>
      <c r="G47" s="1" t="s">
        <v>230</v>
      </c>
    </row>
    <row r="48" spans="1:7" x14ac:dyDescent="0.3">
      <c r="A48" s="1">
        <v>1301</v>
      </c>
      <c r="B48" s="1" t="s">
        <v>220</v>
      </c>
      <c r="C48" s="1">
        <v>1000</v>
      </c>
      <c r="D48" s="1">
        <v>160</v>
      </c>
      <c r="E48" s="2">
        <v>40</v>
      </c>
      <c r="F48" s="2">
        <v>40</v>
      </c>
      <c r="G48" s="1" t="s">
        <v>248</v>
      </c>
    </row>
    <row r="49" spans="1:7" x14ac:dyDescent="0.3">
      <c r="A49" s="1">
        <v>1302</v>
      </c>
      <c r="B49" s="1" t="s">
        <v>221</v>
      </c>
      <c r="C49" s="1">
        <v>1000</v>
      </c>
      <c r="D49" s="1">
        <v>16</v>
      </c>
      <c r="E49" s="2">
        <v>4.8</v>
      </c>
      <c r="F49" s="2">
        <v>4.8</v>
      </c>
      <c r="G49" s="1" t="s">
        <v>249</v>
      </c>
    </row>
    <row r="50" spans="1:7" x14ac:dyDescent="0.3">
      <c r="A50" s="1">
        <v>1303</v>
      </c>
      <c r="B50" s="1" t="s">
        <v>222</v>
      </c>
      <c r="C50" s="1">
        <v>260</v>
      </c>
      <c r="D50" s="1">
        <v>0.08</v>
      </c>
      <c r="E50" s="2">
        <v>1.6E-2</v>
      </c>
      <c r="F50" s="2">
        <v>1.6E-2</v>
      </c>
      <c r="G50" s="1" t="s">
        <v>250</v>
      </c>
    </row>
    <row r="51" spans="1:7" x14ac:dyDescent="0.3">
      <c r="A51" s="1">
        <v>1303</v>
      </c>
      <c r="B51" s="1" t="s">
        <v>223</v>
      </c>
      <c r="C51" s="1">
        <v>260</v>
      </c>
      <c r="D51" s="1">
        <v>0.08</v>
      </c>
      <c r="E51" s="2">
        <v>1.6E-2</v>
      </c>
      <c r="F51" s="2">
        <v>1.6E-2</v>
      </c>
      <c r="G51" s="1" t="s">
        <v>250</v>
      </c>
    </row>
    <row r="52" spans="1:7" x14ac:dyDescent="0.3">
      <c r="A52" s="1">
        <v>1303</v>
      </c>
      <c r="B52" s="1" t="s">
        <v>224</v>
      </c>
      <c r="C52" s="1">
        <v>260</v>
      </c>
      <c r="D52" s="1">
        <v>9.6000000000000002E-2</v>
      </c>
      <c r="E52" s="2">
        <v>1.9199999999999998E-2</v>
      </c>
      <c r="F52" s="2">
        <v>1.9199999999999998E-2</v>
      </c>
      <c r="G52" s="1" t="s">
        <v>250</v>
      </c>
    </row>
    <row r="53" spans="1:7" x14ac:dyDescent="0.3">
      <c r="A53" s="1">
        <v>1303</v>
      </c>
      <c r="B53" s="1" t="s">
        <v>225</v>
      </c>
      <c r="C53" s="1">
        <v>110</v>
      </c>
      <c r="D53" s="1">
        <v>4.8000000000000001E-2</v>
      </c>
      <c r="E53" s="2">
        <v>1.2800000000000001E-2</v>
      </c>
      <c r="F53" s="2">
        <v>1.2800000000000001E-2</v>
      </c>
      <c r="G53" s="1" t="s">
        <v>250</v>
      </c>
    </row>
    <row r="54" spans="1:7" x14ac:dyDescent="0.3">
      <c r="A54" s="1">
        <v>1303</v>
      </c>
      <c r="B54" s="1" t="s">
        <v>226</v>
      </c>
      <c r="C54" s="1">
        <v>110</v>
      </c>
      <c r="D54" s="1">
        <v>0.08</v>
      </c>
      <c r="E54" s="2">
        <v>1.9199999999999998E-2</v>
      </c>
      <c r="F54" s="2">
        <v>1.9199999999999998E-2</v>
      </c>
      <c r="G54" s="1" t="s">
        <v>250</v>
      </c>
    </row>
    <row r="55" spans="1:7" x14ac:dyDescent="0.3">
      <c r="A55" s="1">
        <v>1304</v>
      </c>
      <c r="B55" s="1" t="s">
        <v>222</v>
      </c>
      <c r="C55" s="1">
        <v>250</v>
      </c>
      <c r="D55" s="1">
        <v>0.08</v>
      </c>
      <c r="E55" s="2">
        <v>1.6E-2</v>
      </c>
      <c r="F55" s="2">
        <v>1.6E-2</v>
      </c>
      <c r="G55" s="1" t="s">
        <v>251</v>
      </c>
    </row>
    <row r="56" spans="1:7" x14ac:dyDescent="0.3">
      <c r="A56" s="1">
        <v>1304</v>
      </c>
      <c r="B56" s="1" t="s">
        <v>223</v>
      </c>
      <c r="C56" s="1">
        <v>250</v>
      </c>
      <c r="D56" s="1">
        <v>0.08</v>
      </c>
      <c r="E56" s="2">
        <v>1.6E-2</v>
      </c>
      <c r="F56" s="2">
        <v>1.6E-2</v>
      </c>
      <c r="G56" s="1" t="s">
        <v>251</v>
      </c>
    </row>
    <row r="57" spans="1:7" x14ac:dyDescent="0.3">
      <c r="A57" s="1">
        <v>1304</v>
      </c>
      <c r="B57" s="1" t="s">
        <v>224</v>
      </c>
      <c r="C57" s="1">
        <v>250</v>
      </c>
      <c r="D57" s="1">
        <v>9.6000000000000002E-2</v>
      </c>
      <c r="E57" s="2">
        <v>1.9199999999999998E-2</v>
      </c>
      <c r="F57" s="2">
        <v>1.9199999999999998E-2</v>
      </c>
      <c r="G57" s="1" t="s">
        <v>251</v>
      </c>
    </row>
    <row r="58" spans="1:7" x14ac:dyDescent="0.3">
      <c r="A58" s="1">
        <v>1304</v>
      </c>
      <c r="B58" s="1" t="s">
        <v>225</v>
      </c>
      <c r="C58" s="1">
        <v>100</v>
      </c>
      <c r="D58" s="1">
        <v>4.8000000000000001E-2</v>
      </c>
      <c r="E58" s="2">
        <v>1.2800000000000001E-2</v>
      </c>
      <c r="F58" s="2">
        <v>1.2800000000000001E-2</v>
      </c>
      <c r="G58" s="1" t="s">
        <v>251</v>
      </c>
    </row>
    <row r="59" spans="1:7" x14ac:dyDescent="0.3">
      <c r="A59" s="1">
        <v>1304</v>
      </c>
      <c r="B59" s="1" t="s">
        <v>226</v>
      </c>
      <c r="C59" s="1">
        <v>100</v>
      </c>
      <c r="D59" s="1">
        <v>0.08</v>
      </c>
      <c r="E59" s="2">
        <v>1.9199999999999998E-2</v>
      </c>
      <c r="F59" s="2">
        <v>1.9199999999999998E-2</v>
      </c>
      <c r="G59" s="1" t="s">
        <v>251</v>
      </c>
    </row>
    <row r="60" spans="1:7" x14ac:dyDescent="0.3">
      <c r="A60" s="1">
        <v>1304</v>
      </c>
      <c r="B60" s="1" t="s">
        <v>243</v>
      </c>
      <c r="C60" s="1">
        <v>50</v>
      </c>
      <c r="D60" s="1">
        <v>9.6000000000000002E-2</v>
      </c>
      <c r="E60" s="2">
        <v>1.9199999999999998E-2</v>
      </c>
      <c r="F60" s="2">
        <v>1.9199999999999998E-2</v>
      </c>
      <c r="G60" s="1" t="s">
        <v>251</v>
      </c>
    </row>
    <row r="61" spans="1:7" x14ac:dyDescent="0.3">
      <c r="A61" s="1">
        <v>2301</v>
      </c>
      <c r="B61" s="1" t="s">
        <v>220</v>
      </c>
      <c r="C61" s="1">
        <v>6</v>
      </c>
      <c r="D61" s="1">
        <v>80</v>
      </c>
      <c r="E61" s="2">
        <v>15.5</v>
      </c>
      <c r="F61" s="2">
        <v>23</v>
      </c>
      <c r="G61" s="1" t="s">
        <v>231</v>
      </c>
    </row>
    <row r="62" spans="1:7" x14ac:dyDescent="0.3">
      <c r="A62" s="1">
        <v>2301</v>
      </c>
      <c r="B62" s="1" t="s">
        <v>221</v>
      </c>
      <c r="C62" s="1">
        <v>6</v>
      </c>
      <c r="D62" s="1">
        <v>8</v>
      </c>
      <c r="E62" s="2">
        <v>2</v>
      </c>
      <c r="F62" s="2">
        <v>3</v>
      </c>
      <c r="G62" s="1" t="s">
        <v>231</v>
      </c>
    </row>
    <row r="63" spans="1:7" x14ac:dyDescent="0.3">
      <c r="A63" s="1">
        <v>2301</v>
      </c>
      <c r="B63" s="1" t="s">
        <v>228</v>
      </c>
      <c r="C63" s="1">
        <v>6</v>
      </c>
      <c r="D63" s="1">
        <v>8</v>
      </c>
      <c r="E63" s="2">
        <v>2</v>
      </c>
      <c r="F63" s="2">
        <v>3</v>
      </c>
      <c r="G63" s="1" t="s">
        <v>231</v>
      </c>
    </row>
    <row r="64" spans="1:7" x14ac:dyDescent="0.3">
      <c r="A64" s="1">
        <v>2301</v>
      </c>
      <c r="B64" s="1" t="s">
        <v>222</v>
      </c>
      <c r="C64" s="1">
        <v>4</v>
      </c>
      <c r="D64" s="1">
        <v>4.8000000000000001E-2</v>
      </c>
      <c r="E64" s="2">
        <v>1.0200000000000001E-2</v>
      </c>
      <c r="F64" s="2">
        <v>1.54E-2</v>
      </c>
      <c r="G64" s="1" t="s">
        <v>231</v>
      </c>
    </row>
    <row r="65" spans="1:7" x14ac:dyDescent="0.3">
      <c r="A65" s="1">
        <v>2301</v>
      </c>
      <c r="B65" s="1" t="s">
        <v>223</v>
      </c>
      <c r="C65" s="1">
        <v>4</v>
      </c>
      <c r="D65" s="1">
        <v>4.8000000000000001E-2</v>
      </c>
      <c r="E65" s="2">
        <v>1.0200000000000001E-2</v>
      </c>
      <c r="F65" s="2">
        <v>1.54E-2</v>
      </c>
      <c r="G65" s="1" t="s">
        <v>231</v>
      </c>
    </row>
    <row r="66" spans="1:7" x14ac:dyDescent="0.3">
      <c r="A66" s="1">
        <v>2301</v>
      </c>
      <c r="B66" s="1" t="s">
        <v>224</v>
      </c>
      <c r="C66" s="1">
        <v>4</v>
      </c>
      <c r="D66" s="1">
        <v>6.4000000000000001E-2</v>
      </c>
      <c r="E66" s="2">
        <v>1.2800000000000001E-2</v>
      </c>
      <c r="F66" s="2">
        <v>1.9199999999999998E-2</v>
      </c>
      <c r="G66" s="1" t="s">
        <v>231</v>
      </c>
    </row>
    <row r="67" spans="1:7" x14ac:dyDescent="0.3">
      <c r="A67" s="1">
        <v>2301</v>
      </c>
      <c r="B67" s="1" t="s">
        <v>229</v>
      </c>
      <c r="C67" s="1">
        <v>4</v>
      </c>
      <c r="D67" s="1">
        <v>1.6E-2</v>
      </c>
      <c r="E67" s="2">
        <v>3.8E-3</v>
      </c>
      <c r="F67" s="2">
        <v>5.7999999999999996E-3</v>
      </c>
      <c r="G67" s="1" t="s">
        <v>231</v>
      </c>
    </row>
    <row r="68" spans="1:7" x14ac:dyDescent="0.3">
      <c r="A68" s="1">
        <v>2301</v>
      </c>
      <c r="B68" s="1" t="s">
        <v>243</v>
      </c>
      <c r="C68" s="1">
        <v>4</v>
      </c>
      <c r="D68" s="1">
        <v>6.4000000000000001E-2</v>
      </c>
      <c r="E68" s="2">
        <v>1.2800000000000001E-2</v>
      </c>
      <c r="F68" s="2">
        <v>1.9199999999999998E-2</v>
      </c>
      <c r="G68" s="1" t="s">
        <v>231</v>
      </c>
    </row>
    <row r="69" spans="1:7" x14ac:dyDescent="0.3">
      <c r="A69" s="1">
        <v>2301</v>
      </c>
      <c r="B69" s="1" t="s">
        <v>225</v>
      </c>
      <c r="C69" s="1">
        <v>3</v>
      </c>
      <c r="D69" s="1">
        <v>3.2000000000000001E-2</v>
      </c>
      <c r="E69" s="2">
        <v>6.4000000000000003E-3</v>
      </c>
      <c r="F69" s="2">
        <v>9.5999999999999992E-3</v>
      </c>
      <c r="G69" s="1" t="s">
        <v>231</v>
      </c>
    </row>
    <row r="70" spans="1:7" x14ac:dyDescent="0.3">
      <c r="A70" s="1">
        <v>2301</v>
      </c>
      <c r="B70" s="1" t="s">
        <v>226</v>
      </c>
      <c r="C70" s="1">
        <v>3</v>
      </c>
      <c r="D70" s="1">
        <v>6.4000000000000001E-2</v>
      </c>
      <c r="E70" s="2">
        <v>1.2800000000000001E-2</v>
      </c>
      <c r="F70" s="2">
        <v>1.9199999999999998E-2</v>
      </c>
      <c r="G70" s="1" t="s">
        <v>231</v>
      </c>
    </row>
    <row r="71" spans="1:7" x14ac:dyDescent="0.3">
      <c r="A71" s="1">
        <v>1401</v>
      </c>
      <c r="B71" s="1" t="s">
        <v>220</v>
      </c>
      <c r="C71" s="1">
        <v>1000</v>
      </c>
      <c r="D71" s="1">
        <v>200</v>
      </c>
      <c r="E71" s="2">
        <v>50</v>
      </c>
      <c r="F71" s="2">
        <v>50</v>
      </c>
      <c r="G71" s="1" t="s">
        <v>252</v>
      </c>
    </row>
    <row r="72" spans="1:7" x14ac:dyDescent="0.3">
      <c r="A72" s="1">
        <v>1402</v>
      </c>
      <c r="B72" s="1" t="s">
        <v>221</v>
      </c>
      <c r="C72" s="1">
        <v>1000</v>
      </c>
      <c r="D72" s="1">
        <v>20</v>
      </c>
      <c r="E72" s="2">
        <v>6</v>
      </c>
      <c r="F72" s="2">
        <v>6</v>
      </c>
      <c r="G72" s="1" t="s">
        <v>253</v>
      </c>
    </row>
    <row r="73" spans="1:7" x14ac:dyDescent="0.3">
      <c r="A73" s="1">
        <v>1403</v>
      </c>
      <c r="B73" s="1" t="s">
        <v>222</v>
      </c>
      <c r="C73" s="1">
        <v>260</v>
      </c>
      <c r="D73" s="1">
        <v>0.1</v>
      </c>
      <c r="E73" s="2">
        <v>0.02</v>
      </c>
      <c r="F73" s="2">
        <v>0.02</v>
      </c>
      <c r="G73" s="1" t="s">
        <v>254</v>
      </c>
    </row>
    <row r="74" spans="1:7" x14ac:dyDescent="0.3">
      <c r="A74" s="1">
        <v>1403</v>
      </c>
      <c r="B74" s="1" t="s">
        <v>223</v>
      </c>
      <c r="C74" s="1">
        <v>260</v>
      </c>
      <c r="D74" s="1">
        <v>0.1</v>
      </c>
      <c r="E74" s="2">
        <v>0.02</v>
      </c>
      <c r="F74" s="2">
        <v>0.02</v>
      </c>
      <c r="G74" s="1" t="s">
        <v>254</v>
      </c>
    </row>
    <row r="75" spans="1:7" x14ac:dyDescent="0.3">
      <c r="A75" s="1">
        <v>1403</v>
      </c>
      <c r="B75" s="1" t="s">
        <v>224</v>
      </c>
      <c r="C75" s="1">
        <v>260</v>
      </c>
      <c r="D75" s="1">
        <v>0.12</v>
      </c>
      <c r="E75" s="2">
        <v>2.4E-2</v>
      </c>
      <c r="F75" s="2">
        <v>2.4E-2</v>
      </c>
      <c r="G75" s="1" t="s">
        <v>254</v>
      </c>
    </row>
    <row r="76" spans="1:7" x14ac:dyDescent="0.3">
      <c r="A76" s="1">
        <v>1403</v>
      </c>
      <c r="B76" s="1" t="s">
        <v>225</v>
      </c>
      <c r="C76" s="1">
        <v>110</v>
      </c>
      <c r="D76" s="1">
        <v>0.06</v>
      </c>
      <c r="E76" s="2">
        <v>1.6E-2</v>
      </c>
      <c r="F76" s="2">
        <v>1.6E-2</v>
      </c>
      <c r="G76" s="1" t="s">
        <v>254</v>
      </c>
    </row>
    <row r="77" spans="1:7" x14ac:dyDescent="0.3">
      <c r="A77" s="1">
        <v>1403</v>
      </c>
      <c r="B77" s="1" t="s">
        <v>226</v>
      </c>
      <c r="C77" s="1">
        <v>110</v>
      </c>
      <c r="D77" s="1">
        <v>0.1</v>
      </c>
      <c r="E77" s="2">
        <v>2.4E-2</v>
      </c>
      <c r="F77" s="2">
        <v>2.4E-2</v>
      </c>
      <c r="G77" s="1" t="s">
        <v>254</v>
      </c>
    </row>
    <row r="78" spans="1:7" x14ac:dyDescent="0.3">
      <c r="A78" s="1">
        <v>1404</v>
      </c>
      <c r="B78" s="1" t="s">
        <v>222</v>
      </c>
      <c r="C78" s="1">
        <v>250</v>
      </c>
      <c r="D78" s="1">
        <v>0.1</v>
      </c>
      <c r="E78" s="2">
        <v>0.02</v>
      </c>
      <c r="F78" s="2">
        <v>0.02</v>
      </c>
      <c r="G78" s="1" t="s">
        <v>255</v>
      </c>
    </row>
    <row r="79" spans="1:7" x14ac:dyDescent="0.3">
      <c r="A79" s="1">
        <v>1404</v>
      </c>
      <c r="B79" s="1" t="s">
        <v>223</v>
      </c>
      <c r="C79" s="1">
        <v>250</v>
      </c>
      <c r="D79" s="1">
        <v>0.1</v>
      </c>
      <c r="E79" s="2">
        <v>0.02</v>
      </c>
      <c r="F79" s="2">
        <v>0.02</v>
      </c>
      <c r="G79" s="1" t="s">
        <v>255</v>
      </c>
    </row>
    <row r="80" spans="1:7" x14ac:dyDescent="0.3">
      <c r="A80" s="1">
        <v>1404</v>
      </c>
      <c r="B80" s="1" t="s">
        <v>224</v>
      </c>
      <c r="C80" s="1">
        <v>250</v>
      </c>
      <c r="D80" s="1">
        <v>0.12</v>
      </c>
      <c r="E80" s="2">
        <v>2.4E-2</v>
      </c>
      <c r="F80" s="2">
        <v>2.4E-2</v>
      </c>
      <c r="G80" s="1" t="s">
        <v>255</v>
      </c>
    </row>
    <row r="81" spans="1:7" x14ac:dyDescent="0.3">
      <c r="A81" s="1">
        <v>1404</v>
      </c>
      <c r="B81" s="1" t="s">
        <v>225</v>
      </c>
      <c r="C81" s="1">
        <v>100</v>
      </c>
      <c r="D81" s="1">
        <v>0.06</v>
      </c>
      <c r="E81" s="2">
        <v>1.6E-2</v>
      </c>
      <c r="F81" s="2">
        <v>1.6E-2</v>
      </c>
      <c r="G81" s="1" t="s">
        <v>255</v>
      </c>
    </row>
    <row r="82" spans="1:7" x14ac:dyDescent="0.3">
      <c r="A82" s="1">
        <v>1404</v>
      </c>
      <c r="B82" s="1" t="s">
        <v>226</v>
      </c>
      <c r="C82" s="1">
        <v>100</v>
      </c>
      <c r="D82" s="1">
        <v>0.1</v>
      </c>
      <c r="E82" s="2">
        <v>2.4E-2</v>
      </c>
      <c r="F82" s="2">
        <v>2.4E-2</v>
      </c>
      <c r="G82" s="1" t="s">
        <v>255</v>
      </c>
    </row>
    <row r="83" spans="1:7" x14ac:dyDescent="0.3">
      <c r="A83" s="1">
        <v>1404</v>
      </c>
      <c r="B83" s="1" t="s">
        <v>243</v>
      </c>
      <c r="C83" s="1">
        <v>50</v>
      </c>
      <c r="D83" s="1">
        <v>0.12</v>
      </c>
      <c r="E83" s="2">
        <v>2.4E-2</v>
      </c>
      <c r="F83" s="2">
        <v>2.4E-2</v>
      </c>
      <c r="G83" s="1" t="s">
        <v>255</v>
      </c>
    </row>
    <row r="84" spans="1:7" x14ac:dyDescent="0.3">
      <c r="A84" s="1">
        <v>2401</v>
      </c>
      <c r="B84" s="1" t="s">
        <v>220</v>
      </c>
      <c r="C84" s="1">
        <v>6</v>
      </c>
      <c r="D84" s="1">
        <v>100</v>
      </c>
      <c r="E84" s="2">
        <v>19</v>
      </c>
      <c r="F84" s="2">
        <v>29</v>
      </c>
      <c r="G84" s="1" t="s">
        <v>232</v>
      </c>
    </row>
    <row r="85" spans="1:7" x14ac:dyDescent="0.3">
      <c r="A85" s="1">
        <v>2401</v>
      </c>
      <c r="B85" s="1" t="s">
        <v>221</v>
      </c>
      <c r="C85" s="1">
        <v>6</v>
      </c>
      <c r="D85" s="1">
        <v>10</v>
      </c>
      <c r="E85" s="2">
        <v>2.5</v>
      </c>
      <c r="F85" s="2">
        <v>3.5</v>
      </c>
      <c r="G85" s="1" t="s">
        <v>232</v>
      </c>
    </row>
    <row r="86" spans="1:7" x14ac:dyDescent="0.3">
      <c r="A86" s="1">
        <v>2401</v>
      </c>
      <c r="B86" s="1" t="s">
        <v>228</v>
      </c>
      <c r="C86" s="1">
        <v>6</v>
      </c>
      <c r="D86" s="1">
        <v>10</v>
      </c>
      <c r="E86" s="2">
        <v>2.5</v>
      </c>
      <c r="F86" s="2">
        <v>3.5</v>
      </c>
      <c r="G86" s="1" t="s">
        <v>232</v>
      </c>
    </row>
    <row r="87" spans="1:7" x14ac:dyDescent="0.3">
      <c r="A87" s="1">
        <v>2401</v>
      </c>
      <c r="B87" s="1" t="s">
        <v>222</v>
      </c>
      <c r="C87" s="1">
        <v>4</v>
      </c>
      <c r="D87" s="1">
        <v>0.06</v>
      </c>
      <c r="E87" s="2">
        <v>1.2800000000000001E-2</v>
      </c>
      <c r="F87" s="2">
        <v>1.9199999999999998E-2</v>
      </c>
      <c r="G87" s="1" t="s">
        <v>232</v>
      </c>
    </row>
    <row r="88" spans="1:7" x14ac:dyDescent="0.3">
      <c r="A88" s="1">
        <v>2401</v>
      </c>
      <c r="B88" s="1" t="s">
        <v>223</v>
      </c>
      <c r="C88" s="1">
        <v>4</v>
      </c>
      <c r="D88" s="1">
        <v>0.06</v>
      </c>
      <c r="E88" s="2">
        <v>1.2800000000000001E-2</v>
      </c>
      <c r="F88" s="2">
        <v>1.9199999999999998E-2</v>
      </c>
      <c r="G88" s="1" t="s">
        <v>232</v>
      </c>
    </row>
    <row r="89" spans="1:7" x14ac:dyDescent="0.3">
      <c r="A89" s="1">
        <v>2401</v>
      </c>
      <c r="B89" s="1" t="s">
        <v>224</v>
      </c>
      <c r="C89" s="1">
        <v>4</v>
      </c>
      <c r="D89" s="1">
        <v>0.08</v>
      </c>
      <c r="E89" s="2">
        <v>1.6E-2</v>
      </c>
      <c r="F89" s="2">
        <v>2.4E-2</v>
      </c>
      <c r="G89" s="1" t="s">
        <v>232</v>
      </c>
    </row>
    <row r="90" spans="1:7" x14ac:dyDescent="0.3">
      <c r="A90" s="1">
        <v>2401</v>
      </c>
      <c r="B90" s="1" t="s">
        <v>229</v>
      </c>
      <c r="C90" s="1">
        <v>4</v>
      </c>
      <c r="D90" s="1">
        <v>0.02</v>
      </c>
      <c r="E90" s="2">
        <v>4.7999999999999996E-3</v>
      </c>
      <c r="F90" s="2">
        <v>7.1999999999999998E-3</v>
      </c>
      <c r="G90" s="1" t="s">
        <v>232</v>
      </c>
    </row>
    <row r="91" spans="1:7" x14ac:dyDescent="0.3">
      <c r="A91" s="1">
        <v>2401</v>
      </c>
      <c r="B91" s="1" t="s">
        <v>243</v>
      </c>
      <c r="C91" s="1">
        <v>4</v>
      </c>
      <c r="D91" s="1">
        <v>0.08</v>
      </c>
      <c r="E91" s="2">
        <v>1.6E-2</v>
      </c>
      <c r="F91" s="2">
        <v>2.4E-2</v>
      </c>
      <c r="G91" s="1" t="s">
        <v>232</v>
      </c>
    </row>
    <row r="92" spans="1:7" x14ac:dyDescent="0.3">
      <c r="A92" s="1">
        <v>2401</v>
      </c>
      <c r="B92" s="1" t="s">
        <v>225</v>
      </c>
      <c r="C92" s="1">
        <v>3</v>
      </c>
      <c r="D92" s="1">
        <v>0.04</v>
      </c>
      <c r="E92" s="2">
        <v>8.0000000000000002E-3</v>
      </c>
      <c r="F92" s="2">
        <v>1.2E-2</v>
      </c>
      <c r="G92" s="1" t="s">
        <v>232</v>
      </c>
    </row>
    <row r="93" spans="1:7" x14ac:dyDescent="0.3">
      <c r="A93" s="1">
        <v>2401</v>
      </c>
      <c r="B93" s="1" t="s">
        <v>226</v>
      </c>
      <c r="C93" s="1">
        <v>3</v>
      </c>
      <c r="D93" s="1">
        <v>0.08</v>
      </c>
      <c r="E93" s="2">
        <v>1.6E-2</v>
      </c>
      <c r="F93" s="2">
        <v>2.4E-2</v>
      </c>
      <c r="G93" s="1" t="s">
        <v>232</v>
      </c>
    </row>
    <row r="94" spans="1:7" x14ac:dyDescent="0.3">
      <c r="A94" s="1">
        <v>1501</v>
      </c>
      <c r="B94" s="1" t="s">
        <v>220</v>
      </c>
      <c r="C94" s="1">
        <v>1000</v>
      </c>
      <c r="D94" s="1">
        <v>250</v>
      </c>
      <c r="E94" s="2">
        <v>62.5</v>
      </c>
      <c r="F94" s="2">
        <v>62.5</v>
      </c>
      <c r="G94" s="1" t="s">
        <v>256</v>
      </c>
    </row>
    <row r="95" spans="1:7" x14ac:dyDescent="0.3">
      <c r="A95" s="1">
        <v>1502</v>
      </c>
      <c r="B95" s="1" t="s">
        <v>221</v>
      </c>
      <c r="C95" s="1">
        <v>1000</v>
      </c>
      <c r="D95" s="1">
        <v>25</v>
      </c>
      <c r="E95" s="2">
        <v>7.5</v>
      </c>
      <c r="F95" s="2">
        <v>7.5</v>
      </c>
      <c r="G95" s="1" t="s">
        <v>257</v>
      </c>
    </row>
    <row r="96" spans="1:7" x14ac:dyDescent="0.3">
      <c r="A96" s="1">
        <v>1503</v>
      </c>
      <c r="B96" s="1" t="s">
        <v>222</v>
      </c>
      <c r="C96" s="1">
        <v>260</v>
      </c>
      <c r="D96" s="1">
        <v>0.125</v>
      </c>
      <c r="E96" s="2">
        <v>2.5000000000000001E-2</v>
      </c>
      <c r="F96" s="2">
        <v>2.5000000000000001E-2</v>
      </c>
      <c r="G96" s="1" t="s">
        <v>258</v>
      </c>
    </row>
    <row r="97" spans="1:7" x14ac:dyDescent="0.3">
      <c r="A97" s="1">
        <v>1503</v>
      </c>
      <c r="B97" s="1" t="s">
        <v>223</v>
      </c>
      <c r="C97" s="1">
        <v>260</v>
      </c>
      <c r="D97" s="1">
        <v>0.125</v>
      </c>
      <c r="E97" s="2">
        <v>2.5000000000000001E-2</v>
      </c>
      <c r="F97" s="2">
        <v>2.5000000000000001E-2</v>
      </c>
      <c r="G97" s="1" t="s">
        <v>258</v>
      </c>
    </row>
    <row r="98" spans="1:7" x14ac:dyDescent="0.3">
      <c r="A98" s="1">
        <v>1503</v>
      </c>
      <c r="B98" s="1" t="s">
        <v>224</v>
      </c>
      <c r="C98" s="1">
        <v>260</v>
      </c>
      <c r="D98" s="1">
        <v>0.15</v>
      </c>
      <c r="E98" s="2">
        <v>0.03</v>
      </c>
      <c r="F98" s="2">
        <v>0.03</v>
      </c>
      <c r="G98" s="1" t="s">
        <v>258</v>
      </c>
    </row>
    <row r="99" spans="1:7" x14ac:dyDescent="0.3">
      <c r="A99" s="1">
        <v>1503</v>
      </c>
      <c r="B99" s="1" t="s">
        <v>225</v>
      </c>
      <c r="C99" s="1">
        <v>110</v>
      </c>
      <c r="D99" s="1">
        <v>7.4999999999999997E-2</v>
      </c>
      <c r="E99" s="2">
        <v>0.02</v>
      </c>
      <c r="F99" s="2">
        <v>0.02</v>
      </c>
      <c r="G99" s="1" t="s">
        <v>258</v>
      </c>
    </row>
    <row r="100" spans="1:7" x14ac:dyDescent="0.3">
      <c r="A100" s="1">
        <v>1503</v>
      </c>
      <c r="B100" s="1" t="s">
        <v>226</v>
      </c>
      <c r="C100" s="1">
        <v>110</v>
      </c>
      <c r="D100" s="1">
        <v>0.125</v>
      </c>
      <c r="E100" s="2">
        <v>0.03</v>
      </c>
      <c r="F100" s="2">
        <v>0.03</v>
      </c>
      <c r="G100" s="1" t="s">
        <v>258</v>
      </c>
    </row>
    <row r="101" spans="1:7" x14ac:dyDescent="0.3">
      <c r="A101" s="1">
        <v>1504</v>
      </c>
      <c r="B101" s="1" t="s">
        <v>222</v>
      </c>
      <c r="C101" s="1">
        <v>250</v>
      </c>
      <c r="D101" s="1">
        <v>0.125</v>
      </c>
      <c r="E101" s="2">
        <v>2.5000000000000001E-2</v>
      </c>
      <c r="F101" s="2">
        <v>2.5000000000000001E-2</v>
      </c>
      <c r="G101" s="1" t="s">
        <v>259</v>
      </c>
    </row>
    <row r="102" spans="1:7" x14ac:dyDescent="0.3">
      <c r="A102" s="1">
        <v>1504</v>
      </c>
      <c r="B102" s="1" t="s">
        <v>223</v>
      </c>
      <c r="C102" s="1">
        <v>250</v>
      </c>
      <c r="D102" s="1">
        <v>0.125</v>
      </c>
      <c r="E102" s="2">
        <v>2.5000000000000001E-2</v>
      </c>
      <c r="F102" s="2">
        <v>2.5000000000000001E-2</v>
      </c>
      <c r="G102" s="1" t="s">
        <v>259</v>
      </c>
    </row>
    <row r="103" spans="1:7" x14ac:dyDescent="0.3">
      <c r="A103" s="1">
        <v>1504</v>
      </c>
      <c r="B103" s="1" t="s">
        <v>224</v>
      </c>
      <c r="C103" s="1">
        <v>250</v>
      </c>
      <c r="D103" s="1">
        <v>0.15</v>
      </c>
      <c r="E103" s="2">
        <v>0.03</v>
      </c>
      <c r="F103" s="2">
        <v>0.03</v>
      </c>
      <c r="G103" s="1" t="s">
        <v>259</v>
      </c>
    </row>
    <row r="104" spans="1:7" x14ac:dyDescent="0.3">
      <c r="A104" s="1">
        <v>1504</v>
      </c>
      <c r="B104" s="1" t="s">
        <v>225</v>
      </c>
      <c r="C104" s="1">
        <v>100</v>
      </c>
      <c r="D104" s="1">
        <v>7.4999999999999997E-2</v>
      </c>
      <c r="E104" s="2">
        <v>0.02</v>
      </c>
      <c r="F104" s="2">
        <v>0.02</v>
      </c>
      <c r="G104" s="1" t="s">
        <v>259</v>
      </c>
    </row>
    <row r="105" spans="1:7" x14ac:dyDescent="0.3">
      <c r="A105" s="1">
        <v>1504</v>
      </c>
      <c r="B105" s="1" t="s">
        <v>226</v>
      </c>
      <c r="C105" s="1">
        <v>100</v>
      </c>
      <c r="D105" s="1">
        <v>0.125</v>
      </c>
      <c r="E105" s="2">
        <v>0.03</v>
      </c>
      <c r="F105" s="2">
        <v>0.03</v>
      </c>
      <c r="G105" s="1" t="s">
        <v>259</v>
      </c>
    </row>
    <row r="106" spans="1:7" x14ac:dyDescent="0.3">
      <c r="A106" s="1">
        <v>1504</v>
      </c>
      <c r="B106" s="1" t="s">
        <v>243</v>
      </c>
      <c r="C106" s="1">
        <v>50</v>
      </c>
      <c r="D106" s="1">
        <v>0.15</v>
      </c>
      <c r="E106" s="2">
        <v>0.03</v>
      </c>
      <c r="F106" s="2">
        <v>0.03</v>
      </c>
      <c r="G106" s="1" t="s">
        <v>259</v>
      </c>
    </row>
    <row r="107" spans="1:7" x14ac:dyDescent="0.3">
      <c r="A107" s="1">
        <v>2501</v>
      </c>
      <c r="B107" s="1" t="s">
        <v>220</v>
      </c>
      <c r="C107" s="1">
        <v>6</v>
      </c>
      <c r="D107" s="1">
        <v>125</v>
      </c>
      <c r="E107" s="2">
        <v>24</v>
      </c>
      <c r="F107" s="2">
        <v>36</v>
      </c>
      <c r="G107" s="1" t="s">
        <v>233</v>
      </c>
    </row>
    <row r="108" spans="1:7" x14ac:dyDescent="0.3">
      <c r="A108" s="1">
        <v>2501</v>
      </c>
      <c r="B108" s="1" t="s">
        <v>221</v>
      </c>
      <c r="C108" s="1">
        <v>6</v>
      </c>
      <c r="D108" s="1">
        <v>12.5</v>
      </c>
      <c r="E108" s="2">
        <v>3</v>
      </c>
      <c r="F108" s="2">
        <v>4.5</v>
      </c>
      <c r="G108" s="1" t="s">
        <v>233</v>
      </c>
    </row>
    <row r="109" spans="1:7" x14ac:dyDescent="0.3">
      <c r="A109" s="1">
        <v>2501</v>
      </c>
      <c r="B109" s="1" t="s">
        <v>228</v>
      </c>
      <c r="C109" s="1">
        <v>6</v>
      </c>
      <c r="D109" s="1">
        <v>12.5</v>
      </c>
      <c r="E109" s="2">
        <v>3</v>
      </c>
      <c r="F109" s="2">
        <v>4.5</v>
      </c>
      <c r="G109" s="1" t="s">
        <v>233</v>
      </c>
    </row>
    <row r="110" spans="1:7" x14ac:dyDescent="0.3">
      <c r="A110" s="1">
        <v>2501</v>
      </c>
      <c r="B110" s="1" t="s">
        <v>222</v>
      </c>
      <c r="C110" s="1">
        <v>4</v>
      </c>
      <c r="D110" s="1">
        <v>7.4999999999999997E-2</v>
      </c>
      <c r="E110" s="2">
        <v>1.6E-2</v>
      </c>
      <c r="F110" s="2">
        <v>2.4E-2</v>
      </c>
      <c r="G110" s="1" t="s">
        <v>233</v>
      </c>
    </row>
    <row r="111" spans="1:7" x14ac:dyDescent="0.3">
      <c r="A111" s="1">
        <v>2501</v>
      </c>
      <c r="B111" s="1" t="s">
        <v>223</v>
      </c>
      <c r="C111" s="1">
        <v>4</v>
      </c>
      <c r="D111" s="1">
        <v>7.4999999999999997E-2</v>
      </c>
      <c r="E111" s="2">
        <v>1.6E-2</v>
      </c>
      <c r="F111" s="2">
        <v>2.4E-2</v>
      </c>
      <c r="G111" s="1" t="s">
        <v>233</v>
      </c>
    </row>
    <row r="112" spans="1:7" x14ac:dyDescent="0.3">
      <c r="A112" s="1">
        <v>2501</v>
      </c>
      <c r="B112" s="1" t="s">
        <v>224</v>
      </c>
      <c r="C112" s="1">
        <v>4</v>
      </c>
      <c r="D112" s="1">
        <v>0.1</v>
      </c>
      <c r="E112" s="2">
        <v>0.02</v>
      </c>
      <c r="F112" s="2">
        <v>0.03</v>
      </c>
      <c r="G112" s="1" t="s">
        <v>233</v>
      </c>
    </row>
    <row r="113" spans="1:7" x14ac:dyDescent="0.3">
      <c r="A113" s="1">
        <v>2501</v>
      </c>
      <c r="B113" s="1" t="s">
        <v>229</v>
      </c>
      <c r="C113" s="1">
        <v>4</v>
      </c>
      <c r="D113" s="1">
        <v>2.5000000000000001E-2</v>
      </c>
      <c r="E113" s="2">
        <v>6.0000000000000001E-3</v>
      </c>
      <c r="F113" s="2">
        <v>8.9999999999999993E-3</v>
      </c>
      <c r="G113" s="1" t="s">
        <v>233</v>
      </c>
    </row>
    <row r="114" spans="1:7" x14ac:dyDescent="0.3">
      <c r="A114" s="1">
        <v>2501</v>
      </c>
      <c r="B114" s="1" t="s">
        <v>243</v>
      </c>
      <c r="C114" s="1">
        <v>4</v>
      </c>
      <c r="D114" s="1">
        <v>0.1</v>
      </c>
      <c r="E114" s="2">
        <v>0.02</v>
      </c>
      <c r="F114" s="2">
        <v>0.03</v>
      </c>
      <c r="G114" s="1" t="s">
        <v>233</v>
      </c>
    </row>
    <row r="115" spans="1:7" x14ac:dyDescent="0.3">
      <c r="A115" s="1">
        <v>2501</v>
      </c>
      <c r="B115" s="1" t="s">
        <v>225</v>
      </c>
      <c r="C115" s="1">
        <v>3</v>
      </c>
      <c r="D115" s="1">
        <v>0.05</v>
      </c>
      <c r="E115" s="2">
        <v>0.01</v>
      </c>
      <c r="F115" s="2">
        <v>1.4999999999999999E-2</v>
      </c>
      <c r="G115" s="1" t="s">
        <v>233</v>
      </c>
    </row>
    <row r="116" spans="1:7" x14ac:dyDescent="0.3">
      <c r="A116" s="1">
        <v>2501</v>
      </c>
      <c r="B116" s="1" t="s">
        <v>226</v>
      </c>
      <c r="C116" s="1">
        <v>3</v>
      </c>
      <c r="D116" s="1">
        <v>0.1</v>
      </c>
      <c r="E116" s="2">
        <v>0.02</v>
      </c>
      <c r="F116" s="2">
        <v>0.03</v>
      </c>
      <c r="G116" s="1" t="s">
        <v>233</v>
      </c>
    </row>
    <row r="117" spans="1:7" x14ac:dyDescent="0.3">
      <c r="A117" s="1">
        <v>1601</v>
      </c>
      <c r="B117" s="1" t="s">
        <v>220</v>
      </c>
      <c r="C117" s="1">
        <v>1000</v>
      </c>
      <c r="D117" s="1">
        <v>300</v>
      </c>
      <c r="E117" s="2">
        <v>75</v>
      </c>
      <c r="F117" s="2">
        <v>75</v>
      </c>
      <c r="G117" s="1" t="s">
        <v>260</v>
      </c>
    </row>
    <row r="118" spans="1:7" x14ac:dyDescent="0.3">
      <c r="A118" s="1">
        <v>1602</v>
      </c>
      <c r="B118" s="1" t="s">
        <v>221</v>
      </c>
      <c r="C118" s="1">
        <v>1000</v>
      </c>
      <c r="D118" s="1">
        <v>30</v>
      </c>
      <c r="E118" s="2">
        <v>9</v>
      </c>
      <c r="F118" s="2">
        <v>9</v>
      </c>
      <c r="G118" s="1" t="s">
        <v>261</v>
      </c>
    </row>
    <row r="119" spans="1:7" x14ac:dyDescent="0.3">
      <c r="A119" s="1">
        <v>1603</v>
      </c>
      <c r="B119" s="1" t="s">
        <v>222</v>
      </c>
      <c r="C119" s="1">
        <v>260</v>
      </c>
      <c r="D119" s="1">
        <v>0.15</v>
      </c>
      <c r="E119" s="2">
        <v>0.03</v>
      </c>
      <c r="F119" s="2">
        <v>0.03</v>
      </c>
      <c r="G119" s="1" t="s">
        <v>262</v>
      </c>
    </row>
    <row r="120" spans="1:7" x14ac:dyDescent="0.3">
      <c r="A120" s="1">
        <v>1603</v>
      </c>
      <c r="B120" s="1" t="s">
        <v>223</v>
      </c>
      <c r="C120" s="1">
        <v>260</v>
      </c>
      <c r="D120" s="1">
        <v>0.15</v>
      </c>
      <c r="E120" s="2">
        <v>0.03</v>
      </c>
      <c r="F120" s="2">
        <v>0.03</v>
      </c>
      <c r="G120" s="1" t="s">
        <v>262</v>
      </c>
    </row>
    <row r="121" spans="1:7" x14ac:dyDescent="0.3">
      <c r="A121" s="1">
        <v>1603</v>
      </c>
      <c r="B121" s="1" t="s">
        <v>224</v>
      </c>
      <c r="C121" s="1">
        <v>260</v>
      </c>
      <c r="D121" s="1">
        <v>0.18</v>
      </c>
      <c r="E121" s="2">
        <v>3.5999999999999997E-2</v>
      </c>
      <c r="F121" s="2">
        <v>3.5999999999999997E-2</v>
      </c>
      <c r="G121" s="1" t="s">
        <v>262</v>
      </c>
    </row>
    <row r="122" spans="1:7" x14ac:dyDescent="0.3">
      <c r="A122" s="1">
        <v>1603</v>
      </c>
      <c r="B122" s="1" t="s">
        <v>225</v>
      </c>
      <c r="C122" s="1">
        <v>110</v>
      </c>
      <c r="D122" s="1">
        <v>0.09</v>
      </c>
      <c r="E122" s="2">
        <v>2.4E-2</v>
      </c>
      <c r="F122" s="2">
        <v>2.4E-2</v>
      </c>
      <c r="G122" s="1" t="s">
        <v>262</v>
      </c>
    </row>
    <row r="123" spans="1:7" x14ac:dyDescent="0.3">
      <c r="A123" s="1">
        <v>1603</v>
      </c>
      <c r="B123" s="1" t="s">
        <v>226</v>
      </c>
      <c r="C123" s="1">
        <v>110</v>
      </c>
      <c r="D123" s="1">
        <v>0.15</v>
      </c>
      <c r="E123" s="2">
        <v>3.5999999999999997E-2</v>
      </c>
      <c r="F123" s="2">
        <v>3.5999999999999997E-2</v>
      </c>
      <c r="G123" s="1" t="s">
        <v>262</v>
      </c>
    </row>
    <row r="124" spans="1:7" x14ac:dyDescent="0.3">
      <c r="A124" s="1">
        <v>1604</v>
      </c>
      <c r="B124" s="1" t="s">
        <v>222</v>
      </c>
      <c r="C124" s="1">
        <v>250</v>
      </c>
      <c r="D124" s="1">
        <v>0.15</v>
      </c>
      <c r="E124" s="2">
        <v>0.03</v>
      </c>
      <c r="F124" s="2">
        <v>0.03</v>
      </c>
      <c r="G124" s="1" t="s">
        <v>263</v>
      </c>
    </row>
    <row r="125" spans="1:7" x14ac:dyDescent="0.3">
      <c r="A125" s="1">
        <v>1604</v>
      </c>
      <c r="B125" s="1" t="s">
        <v>223</v>
      </c>
      <c r="C125" s="1">
        <v>250</v>
      </c>
      <c r="D125" s="1">
        <v>0.15</v>
      </c>
      <c r="E125" s="2">
        <v>0.03</v>
      </c>
      <c r="F125" s="2">
        <v>0.03</v>
      </c>
      <c r="G125" s="1" t="s">
        <v>263</v>
      </c>
    </row>
    <row r="126" spans="1:7" x14ac:dyDescent="0.3">
      <c r="A126" s="1">
        <v>1604</v>
      </c>
      <c r="B126" s="1" t="s">
        <v>224</v>
      </c>
      <c r="C126" s="1">
        <v>250</v>
      </c>
      <c r="D126" s="1">
        <v>0.18</v>
      </c>
      <c r="E126" s="2">
        <v>3.5999999999999997E-2</v>
      </c>
      <c r="F126" s="2">
        <v>3.5999999999999997E-2</v>
      </c>
      <c r="G126" s="1" t="s">
        <v>263</v>
      </c>
    </row>
    <row r="127" spans="1:7" x14ac:dyDescent="0.3">
      <c r="A127" s="1">
        <v>1604</v>
      </c>
      <c r="B127" s="1" t="s">
        <v>225</v>
      </c>
      <c r="C127" s="1">
        <v>100</v>
      </c>
      <c r="D127" s="1">
        <v>0.09</v>
      </c>
      <c r="E127" s="2">
        <v>2.4E-2</v>
      </c>
      <c r="F127" s="2">
        <v>2.4E-2</v>
      </c>
      <c r="G127" s="1" t="s">
        <v>263</v>
      </c>
    </row>
    <row r="128" spans="1:7" x14ac:dyDescent="0.3">
      <c r="A128" s="1">
        <v>1604</v>
      </c>
      <c r="B128" s="1" t="s">
        <v>226</v>
      </c>
      <c r="C128" s="1">
        <v>100</v>
      </c>
      <c r="D128" s="1">
        <v>0.15</v>
      </c>
      <c r="E128" s="2">
        <v>3.5999999999999997E-2</v>
      </c>
      <c r="F128" s="2">
        <v>3.5999999999999997E-2</v>
      </c>
      <c r="G128" s="1" t="s">
        <v>263</v>
      </c>
    </row>
    <row r="129" spans="1:7" x14ac:dyDescent="0.3">
      <c r="A129" s="1">
        <v>1604</v>
      </c>
      <c r="B129" s="1" t="s">
        <v>243</v>
      </c>
      <c r="C129" s="1">
        <v>50</v>
      </c>
      <c r="D129" s="1">
        <v>0.18</v>
      </c>
      <c r="E129" s="2">
        <v>3.5999999999999997E-2</v>
      </c>
      <c r="F129" s="2">
        <v>3.5999999999999997E-2</v>
      </c>
      <c r="G129" s="1" t="s">
        <v>263</v>
      </c>
    </row>
    <row r="130" spans="1:7" x14ac:dyDescent="0.3">
      <c r="A130" s="1">
        <v>2601</v>
      </c>
      <c r="B130" s="1" t="s">
        <v>220</v>
      </c>
      <c r="C130" s="1">
        <v>6</v>
      </c>
      <c r="D130" s="1">
        <v>150</v>
      </c>
      <c r="E130" s="2">
        <v>29</v>
      </c>
      <c r="F130" s="2">
        <v>43</v>
      </c>
      <c r="G130" s="1" t="s">
        <v>234</v>
      </c>
    </row>
    <row r="131" spans="1:7" x14ac:dyDescent="0.3">
      <c r="A131" s="1">
        <v>2601</v>
      </c>
      <c r="B131" s="1" t="s">
        <v>221</v>
      </c>
      <c r="C131" s="1">
        <v>6</v>
      </c>
      <c r="D131" s="1">
        <v>15</v>
      </c>
      <c r="E131" s="2">
        <v>3.5</v>
      </c>
      <c r="F131" s="2">
        <v>5.5</v>
      </c>
      <c r="G131" s="1" t="s">
        <v>234</v>
      </c>
    </row>
    <row r="132" spans="1:7" x14ac:dyDescent="0.3">
      <c r="A132" s="1">
        <v>2601</v>
      </c>
      <c r="B132" s="1" t="s">
        <v>228</v>
      </c>
      <c r="C132" s="1">
        <v>6</v>
      </c>
      <c r="D132" s="1">
        <v>15</v>
      </c>
      <c r="E132" s="2">
        <v>3.5</v>
      </c>
      <c r="F132" s="2">
        <v>5.5</v>
      </c>
      <c r="G132" s="1" t="s">
        <v>234</v>
      </c>
    </row>
    <row r="133" spans="1:7" x14ac:dyDescent="0.3">
      <c r="A133" s="1">
        <v>2601</v>
      </c>
      <c r="B133" s="1" t="s">
        <v>222</v>
      </c>
      <c r="C133" s="1">
        <v>4</v>
      </c>
      <c r="D133" s="1">
        <v>0.09</v>
      </c>
      <c r="E133" s="2">
        <v>1.9199999999999998E-2</v>
      </c>
      <c r="F133" s="2">
        <v>2.8799999999999999E-2</v>
      </c>
      <c r="G133" s="1" t="s">
        <v>234</v>
      </c>
    </row>
    <row r="134" spans="1:7" x14ac:dyDescent="0.3">
      <c r="A134" s="1">
        <v>2601</v>
      </c>
      <c r="B134" s="1" t="s">
        <v>223</v>
      </c>
      <c r="C134" s="1">
        <v>4</v>
      </c>
      <c r="D134" s="1">
        <v>0.09</v>
      </c>
      <c r="E134" s="2">
        <v>1.9199999999999998E-2</v>
      </c>
      <c r="F134" s="2">
        <v>2.8799999999999999E-2</v>
      </c>
      <c r="G134" s="1" t="s">
        <v>234</v>
      </c>
    </row>
    <row r="135" spans="1:7" x14ac:dyDescent="0.3">
      <c r="A135" s="1">
        <v>2601</v>
      </c>
      <c r="B135" s="1" t="s">
        <v>224</v>
      </c>
      <c r="C135" s="1">
        <v>4</v>
      </c>
      <c r="D135" s="1">
        <v>0.12</v>
      </c>
      <c r="E135" s="2">
        <v>2.4E-2</v>
      </c>
      <c r="F135" s="2">
        <v>3.5999999999999997E-2</v>
      </c>
      <c r="G135" s="1" t="s">
        <v>234</v>
      </c>
    </row>
    <row r="136" spans="1:7" x14ac:dyDescent="0.3">
      <c r="A136" s="1">
        <v>2601</v>
      </c>
      <c r="B136" s="1" t="s">
        <v>229</v>
      </c>
      <c r="C136" s="1">
        <v>4</v>
      </c>
      <c r="D136" s="1">
        <v>0.03</v>
      </c>
      <c r="E136" s="2">
        <v>7.1999999999999998E-3</v>
      </c>
      <c r="F136" s="2">
        <v>1.0800000000000001E-2</v>
      </c>
      <c r="G136" s="1" t="s">
        <v>234</v>
      </c>
    </row>
    <row r="137" spans="1:7" x14ac:dyDescent="0.3">
      <c r="A137" s="1">
        <v>2601</v>
      </c>
      <c r="B137" s="1" t="s">
        <v>243</v>
      </c>
      <c r="C137" s="1">
        <v>4</v>
      </c>
      <c r="D137" s="1">
        <v>0.12</v>
      </c>
      <c r="E137" s="2">
        <v>2.4E-2</v>
      </c>
      <c r="F137" s="2">
        <v>3.5999999999999997E-2</v>
      </c>
      <c r="G137" s="1" t="s">
        <v>234</v>
      </c>
    </row>
    <row r="138" spans="1:7" x14ac:dyDescent="0.3">
      <c r="A138" s="1">
        <v>2601</v>
      </c>
      <c r="B138" s="1" t="s">
        <v>225</v>
      </c>
      <c r="C138" s="1">
        <v>3</v>
      </c>
      <c r="D138" s="1">
        <v>0.06</v>
      </c>
      <c r="E138" s="2">
        <v>1.2E-2</v>
      </c>
      <c r="F138" s="2">
        <v>1.7999999999999999E-2</v>
      </c>
      <c r="G138" s="1" t="s">
        <v>234</v>
      </c>
    </row>
    <row r="139" spans="1:7" x14ac:dyDescent="0.3">
      <c r="A139" s="1">
        <v>2601</v>
      </c>
      <c r="B139" s="1" t="s">
        <v>226</v>
      </c>
      <c r="C139" s="1">
        <v>3</v>
      </c>
      <c r="D139" s="1">
        <v>0.12</v>
      </c>
      <c r="E139" s="2">
        <v>2.4E-2</v>
      </c>
      <c r="F139" s="2">
        <v>3.5999999999999997E-2</v>
      </c>
      <c r="G139" s="1" t="s">
        <v>234</v>
      </c>
    </row>
    <row r="140" spans="1:7" x14ac:dyDescent="0.3">
      <c r="A140" s="1">
        <v>1701</v>
      </c>
      <c r="B140" s="1" t="s">
        <v>220</v>
      </c>
      <c r="C140" s="1">
        <v>1000</v>
      </c>
      <c r="D140" s="1">
        <v>360</v>
      </c>
      <c r="E140" s="2">
        <v>90</v>
      </c>
      <c r="F140" s="2">
        <v>90</v>
      </c>
      <c r="G140" s="1" t="s">
        <v>264</v>
      </c>
    </row>
    <row r="141" spans="1:7" x14ac:dyDescent="0.3">
      <c r="A141" s="1">
        <v>1702</v>
      </c>
      <c r="B141" s="1" t="s">
        <v>221</v>
      </c>
      <c r="C141" s="1">
        <v>1000</v>
      </c>
      <c r="D141" s="1">
        <v>36</v>
      </c>
      <c r="E141" s="2">
        <v>10.8</v>
      </c>
      <c r="F141" s="2">
        <v>10.8</v>
      </c>
      <c r="G141" s="1" t="s">
        <v>265</v>
      </c>
    </row>
    <row r="142" spans="1:7" x14ac:dyDescent="0.3">
      <c r="A142" s="1">
        <v>1703</v>
      </c>
      <c r="B142" s="1" t="s">
        <v>222</v>
      </c>
      <c r="C142" s="1">
        <v>260</v>
      </c>
      <c r="D142" s="1">
        <v>0.18</v>
      </c>
      <c r="E142" s="2">
        <v>3.5999999999999997E-2</v>
      </c>
      <c r="F142" s="2">
        <v>3.5999999999999997E-2</v>
      </c>
      <c r="G142" s="1" t="s">
        <v>266</v>
      </c>
    </row>
    <row r="143" spans="1:7" x14ac:dyDescent="0.3">
      <c r="A143" s="1">
        <v>1703</v>
      </c>
      <c r="B143" s="1" t="s">
        <v>223</v>
      </c>
      <c r="C143" s="1">
        <v>260</v>
      </c>
      <c r="D143" s="1">
        <v>0.18</v>
      </c>
      <c r="E143" s="2">
        <v>3.5999999999999997E-2</v>
      </c>
      <c r="F143" s="2">
        <v>3.5999999999999997E-2</v>
      </c>
      <c r="G143" s="1" t="s">
        <v>266</v>
      </c>
    </row>
    <row r="144" spans="1:7" x14ac:dyDescent="0.3">
      <c r="A144" s="1">
        <v>1703</v>
      </c>
      <c r="B144" s="1" t="s">
        <v>224</v>
      </c>
      <c r="C144" s="1">
        <v>260</v>
      </c>
      <c r="D144" s="1">
        <v>0.216</v>
      </c>
      <c r="E144" s="2">
        <v>4.3200000000000002E-2</v>
      </c>
      <c r="F144" s="2">
        <v>4.3200000000000002E-2</v>
      </c>
      <c r="G144" s="1" t="s">
        <v>266</v>
      </c>
    </row>
    <row r="145" spans="1:7" x14ac:dyDescent="0.3">
      <c r="A145" s="1">
        <v>1703</v>
      </c>
      <c r="B145" s="1" t="s">
        <v>225</v>
      </c>
      <c r="C145" s="1">
        <v>110</v>
      </c>
      <c r="D145" s="1">
        <v>0.108</v>
      </c>
      <c r="E145" s="2">
        <v>2.8799999999999999E-2</v>
      </c>
      <c r="F145" s="2">
        <v>2.8799999999999999E-2</v>
      </c>
      <c r="G145" s="1" t="s">
        <v>266</v>
      </c>
    </row>
    <row r="146" spans="1:7" x14ac:dyDescent="0.3">
      <c r="A146" s="1">
        <v>1703</v>
      </c>
      <c r="B146" s="1" t="s">
        <v>226</v>
      </c>
      <c r="C146" s="1">
        <v>110</v>
      </c>
      <c r="D146" s="1">
        <v>0.18</v>
      </c>
      <c r="E146" s="2">
        <v>4.3200000000000002E-2</v>
      </c>
      <c r="F146" s="2">
        <v>4.3200000000000002E-2</v>
      </c>
      <c r="G146" s="1" t="s">
        <v>266</v>
      </c>
    </row>
    <row r="147" spans="1:7" x14ac:dyDescent="0.3">
      <c r="A147" s="1">
        <v>1704</v>
      </c>
      <c r="B147" s="1" t="s">
        <v>222</v>
      </c>
      <c r="C147" s="1">
        <v>250</v>
      </c>
      <c r="D147" s="1">
        <v>0.18</v>
      </c>
      <c r="E147" s="2">
        <v>3.5999999999999997E-2</v>
      </c>
      <c r="F147" s="2">
        <v>3.5999999999999997E-2</v>
      </c>
      <c r="G147" s="1" t="s">
        <v>267</v>
      </c>
    </row>
    <row r="148" spans="1:7" x14ac:dyDescent="0.3">
      <c r="A148" s="1">
        <v>1704</v>
      </c>
      <c r="B148" s="1" t="s">
        <v>223</v>
      </c>
      <c r="C148" s="1">
        <v>250</v>
      </c>
      <c r="D148" s="1">
        <v>0.18</v>
      </c>
      <c r="E148" s="2">
        <v>3.5999999999999997E-2</v>
      </c>
      <c r="F148" s="2">
        <v>3.5999999999999997E-2</v>
      </c>
      <c r="G148" s="1" t="s">
        <v>267</v>
      </c>
    </row>
    <row r="149" spans="1:7" x14ac:dyDescent="0.3">
      <c r="A149" s="1">
        <v>1704</v>
      </c>
      <c r="B149" s="1" t="s">
        <v>224</v>
      </c>
      <c r="C149" s="1">
        <v>250</v>
      </c>
      <c r="D149" s="1">
        <v>0.216</v>
      </c>
      <c r="E149" s="2">
        <v>4.3200000000000002E-2</v>
      </c>
      <c r="F149" s="2">
        <v>4.3200000000000002E-2</v>
      </c>
      <c r="G149" s="1" t="s">
        <v>267</v>
      </c>
    </row>
    <row r="150" spans="1:7" x14ac:dyDescent="0.3">
      <c r="A150" s="1">
        <v>1704</v>
      </c>
      <c r="B150" s="1" t="s">
        <v>225</v>
      </c>
      <c r="C150" s="1">
        <v>100</v>
      </c>
      <c r="D150" s="1">
        <v>0.108</v>
      </c>
      <c r="E150" s="2">
        <v>2.8799999999999999E-2</v>
      </c>
      <c r="F150" s="2">
        <v>2.8799999999999999E-2</v>
      </c>
      <c r="G150" s="1" t="s">
        <v>267</v>
      </c>
    </row>
    <row r="151" spans="1:7" x14ac:dyDescent="0.3">
      <c r="A151" s="1">
        <v>1704</v>
      </c>
      <c r="B151" s="1" t="s">
        <v>226</v>
      </c>
      <c r="C151" s="1">
        <v>100</v>
      </c>
      <c r="D151" s="1">
        <v>0.18</v>
      </c>
      <c r="E151" s="2">
        <v>4.3200000000000002E-2</v>
      </c>
      <c r="F151" s="2">
        <v>4.3200000000000002E-2</v>
      </c>
      <c r="G151" s="1" t="s">
        <v>267</v>
      </c>
    </row>
    <row r="152" spans="1:7" x14ac:dyDescent="0.3">
      <c r="A152" s="1">
        <v>1704</v>
      </c>
      <c r="B152" s="1" t="s">
        <v>243</v>
      </c>
      <c r="C152" s="1">
        <v>50</v>
      </c>
      <c r="D152" s="1">
        <v>0.216</v>
      </c>
      <c r="E152" s="2">
        <v>4.3200000000000002E-2</v>
      </c>
      <c r="F152" s="2">
        <v>4.3200000000000002E-2</v>
      </c>
      <c r="G152" s="1" t="s">
        <v>267</v>
      </c>
    </row>
    <row r="153" spans="1:7" x14ac:dyDescent="0.3">
      <c r="A153" s="1">
        <v>2701</v>
      </c>
      <c r="B153" s="1" t="s">
        <v>220</v>
      </c>
      <c r="C153" s="1">
        <v>6</v>
      </c>
      <c r="D153" s="1">
        <v>180</v>
      </c>
      <c r="E153" s="2">
        <v>34.5</v>
      </c>
      <c r="F153" s="2">
        <v>52</v>
      </c>
      <c r="G153" s="1" t="s">
        <v>235</v>
      </c>
    </row>
    <row r="154" spans="1:7" x14ac:dyDescent="0.3">
      <c r="A154" s="1">
        <v>2701</v>
      </c>
      <c r="B154" s="1" t="s">
        <v>221</v>
      </c>
      <c r="C154" s="1">
        <v>6</v>
      </c>
      <c r="D154" s="1">
        <v>18</v>
      </c>
      <c r="E154" s="2">
        <v>4.5</v>
      </c>
      <c r="F154" s="2">
        <v>6.5</v>
      </c>
      <c r="G154" s="1" t="s">
        <v>235</v>
      </c>
    </row>
    <row r="155" spans="1:7" x14ac:dyDescent="0.3">
      <c r="A155" s="1">
        <v>2701</v>
      </c>
      <c r="B155" s="1" t="s">
        <v>228</v>
      </c>
      <c r="C155" s="1">
        <v>6</v>
      </c>
      <c r="D155" s="1">
        <v>18</v>
      </c>
      <c r="E155" s="2">
        <v>4.5</v>
      </c>
      <c r="F155" s="2">
        <v>6.5</v>
      </c>
      <c r="G155" s="1" t="s">
        <v>235</v>
      </c>
    </row>
    <row r="156" spans="1:7" x14ac:dyDescent="0.3">
      <c r="A156" s="1">
        <v>2701</v>
      </c>
      <c r="B156" s="1" t="s">
        <v>222</v>
      </c>
      <c r="C156" s="1">
        <v>4</v>
      </c>
      <c r="D156" s="1">
        <v>0.108</v>
      </c>
      <c r="E156" s="2">
        <v>2.3E-2</v>
      </c>
      <c r="F156" s="2">
        <v>3.4599999999999999E-2</v>
      </c>
      <c r="G156" s="1" t="s">
        <v>235</v>
      </c>
    </row>
    <row r="157" spans="1:7" x14ac:dyDescent="0.3">
      <c r="A157" s="1">
        <v>2701</v>
      </c>
      <c r="B157" s="1" t="s">
        <v>223</v>
      </c>
      <c r="C157" s="1">
        <v>4</v>
      </c>
      <c r="D157" s="1">
        <v>0.108</v>
      </c>
      <c r="E157" s="2">
        <v>2.3E-2</v>
      </c>
      <c r="F157" s="2">
        <v>3.4599999999999999E-2</v>
      </c>
      <c r="G157" s="1" t="s">
        <v>235</v>
      </c>
    </row>
    <row r="158" spans="1:7" x14ac:dyDescent="0.3">
      <c r="A158" s="1">
        <v>2701</v>
      </c>
      <c r="B158" s="1" t="s">
        <v>224</v>
      </c>
      <c r="C158" s="1">
        <v>4</v>
      </c>
      <c r="D158" s="1">
        <v>0.14399999999999999</v>
      </c>
      <c r="E158" s="2">
        <v>2.8799999999999999E-2</v>
      </c>
      <c r="F158" s="2">
        <v>4.3200000000000002E-2</v>
      </c>
      <c r="G158" s="1" t="s">
        <v>235</v>
      </c>
    </row>
    <row r="159" spans="1:7" x14ac:dyDescent="0.3">
      <c r="A159" s="1">
        <v>2701</v>
      </c>
      <c r="B159" s="1" t="s">
        <v>229</v>
      </c>
      <c r="C159" s="1">
        <v>4</v>
      </c>
      <c r="D159" s="1">
        <v>3.5999999999999997E-2</v>
      </c>
      <c r="E159" s="2">
        <v>8.6E-3</v>
      </c>
      <c r="F159" s="2">
        <v>1.2999999999999999E-2</v>
      </c>
      <c r="G159" s="1" t="s">
        <v>235</v>
      </c>
    </row>
    <row r="160" spans="1:7" x14ac:dyDescent="0.3">
      <c r="A160" s="1">
        <v>2701</v>
      </c>
      <c r="B160" s="1" t="s">
        <v>243</v>
      </c>
      <c r="C160" s="1">
        <v>4</v>
      </c>
      <c r="D160" s="1">
        <v>0.14399999999999999</v>
      </c>
      <c r="E160" s="2">
        <v>2.8799999999999999E-2</v>
      </c>
      <c r="F160" s="2">
        <v>4.3200000000000002E-2</v>
      </c>
      <c r="G160" s="1" t="s">
        <v>235</v>
      </c>
    </row>
    <row r="161" spans="1:7" x14ac:dyDescent="0.3">
      <c r="A161" s="1">
        <v>2701</v>
      </c>
      <c r="B161" s="1" t="s">
        <v>225</v>
      </c>
      <c r="C161" s="1">
        <v>3</v>
      </c>
      <c r="D161" s="1">
        <v>7.1999999999999995E-2</v>
      </c>
      <c r="E161" s="2">
        <v>1.44E-2</v>
      </c>
      <c r="F161" s="2">
        <v>2.1600000000000001E-2</v>
      </c>
      <c r="G161" s="1" t="s">
        <v>235</v>
      </c>
    </row>
    <row r="162" spans="1:7" x14ac:dyDescent="0.3">
      <c r="A162" s="1">
        <v>2701</v>
      </c>
      <c r="B162" s="1" t="s">
        <v>226</v>
      </c>
      <c r="C162" s="1">
        <v>3</v>
      </c>
      <c r="D162" s="1">
        <v>0.14399999999999999</v>
      </c>
      <c r="E162" s="2">
        <v>2.8799999999999999E-2</v>
      </c>
      <c r="F162" s="2">
        <v>4.3200000000000002E-2</v>
      </c>
      <c r="G162" s="1" t="s">
        <v>235</v>
      </c>
    </row>
    <row r="163" spans="1:7" x14ac:dyDescent="0.3">
      <c r="A163" s="1">
        <v>1801</v>
      </c>
      <c r="B163" s="1" t="s">
        <v>220</v>
      </c>
      <c r="C163" s="1">
        <v>1000</v>
      </c>
      <c r="D163" s="1">
        <v>430</v>
      </c>
      <c r="E163" s="2">
        <v>107.5</v>
      </c>
      <c r="F163" s="2">
        <v>107.5</v>
      </c>
      <c r="G163" s="1" t="s">
        <v>268</v>
      </c>
    </row>
    <row r="164" spans="1:7" x14ac:dyDescent="0.3">
      <c r="A164" s="1">
        <v>1802</v>
      </c>
      <c r="B164" s="1" t="s">
        <v>221</v>
      </c>
      <c r="C164" s="1">
        <v>1000</v>
      </c>
      <c r="D164" s="1">
        <v>43</v>
      </c>
      <c r="E164" s="2">
        <v>12.9</v>
      </c>
      <c r="F164" s="2">
        <v>12.9</v>
      </c>
      <c r="G164" s="1" t="s">
        <v>269</v>
      </c>
    </row>
    <row r="165" spans="1:7" x14ac:dyDescent="0.3">
      <c r="A165" s="1">
        <v>1803</v>
      </c>
      <c r="B165" s="1" t="s">
        <v>222</v>
      </c>
      <c r="C165" s="1">
        <v>260</v>
      </c>
      <c r="D165" s="1">
        <v>0.215</v>
      </c>
      <c r="E165" s="2">
        <v>4.2999999999999997E-2</v>
      </c>
      <c r="F165" s="2">
        <v>4.2999999999999997E-2</v>
      </c>
      <c r="G165" s="1" t="s">
        <v>270</v>
      </c>
    </row>
    <row r="166" spans="1:7" x14ac:dyDescent="0.3">
      <c r="A166" s="1">
        <v>1803</v>
      </c>
      <c r="B166" s="1" t="s">
        <v>223</v>
      </c>
      <c r="C166" s="1">
        <v>260</v>
      </c>
      <c r="D166" s="1">
        <v>0.215</v>
      </c>
      <c r="E166" s="2">
        <v>4.2999999999999997E-2</v>
      </c>
      <c r="F166" s="2">
        <v>4.2999999999999997E-2</v>
      </c>
      <c r="G166" s="1" t="s">
        <v>270</v>
      </c>
    </row>
    <row r="167" spans="1:7" x14ac:dyDescent="0.3">
      <c r="A167" s="1">
        <v>1803</v>
      </c>
      <c r="B167" s="1" t="s">
        <v>224</v>
      </c>
      <c r="C167" s="1">
        <v>260</v>
      </c>
      <c r="D167" s="1">
        <v>0.25800000000000001</v>
      </c>
      <c r="E167" s="2">
        <v>5.16E-2</v>
      </c>
      <c r="F167" s="2">
        <v>5.16E-2</v>
      </c>
      <c r="G167" s="1" t="s">
        <v>270</v>
      </c>
    </row>
    <row r="168" spans="1:7" x14ac:dyDescent="0.3">
      <c r="A168" s="1">
        <v>1803</v>
      </c>
      <c r="B168" s="1" t="s">
        <v>225</v>
      </c>
      <c r="C168" s="1">
        <v>110</v>
      </c>
      <c r="D168" s="1">
        <v>0.129</v>
      </c>
      <c r="E168" s="2">
        <v>3.44E-2</v>
      </c>
      <c r="F168" s="2">
        <v>3.44E-2</v>
      </c>
      <c r="G168" s="1" t="s">
        <v>270</v>
      </c>
    </row>
    <row r="169" spans="1:7" x14ac:dyDescent="0.3">
      <c r="A169" s="1">
        <v>1803</v>
      </c>
      <c r="B169" s="1" t="s">
        <v>226</v>
      </c>
      <c r="C169" s="1">
        <v>110</v>
      </c>
      <c r="D169" s="1">
        <v>0.215</v>
      </c>
      <c r="E169" s="2">
        <v>5.16E-2</v>
      </c>
      <c r="F169" s="2">
        <v>5.16E-2</v>
      </c>
      <c r="G169" s="1" t="s">
        <v>270</v>
      </c>
    </row>
    <row r="170" spans="1:7" x14ac:dyDescent="0.3">
      <c r="A170" s="1">
        <v>1804</v>
      </c>
      <c r="B170" s="1" t="s">
        <v>222</v>
      </c>
      <c r="C170" s="1">
        <v>250</v>
      </c>
      <c r="D170" s="1">
        <v>0.215</v>
      </c>
      <c r="E170" s="2">
        <v>4.2999999999999997E-2</v>
      </c>
      <c r="F170" s="2">
        <v>4.2999999999999997E-2</v>
      </c>
      <c r="G170" s="1" t="s">
        <v>271</v>
      </c>
    </row>
    <row r="171" spans="1:7" x14ac:dyDescent="0.3">
      <c r="A171" s="1">
        <v>1804</v>
      </c>
      <c r="B171" s="1" t="s">
        <v>223</v>
      </c>
      <c r="C171" s="1">
        <v>250</v>
      </c>
      <c r="D171" s="1">
        <v>0.215</v>
      </c>
      <c r="E171" s="2">
        <v>4.2999999999999997E-2</v>
      </c>
      <c r="F171" s="2">
        <v>4.2999999999999997E-2</v>
      </c>
      <c r="G171" s="1" t="s">
        <v>271</v>
      </c>
    </row>
    <row r="172" spans="1:7" x14ac:dyDescent="0.3">
      <c r="A172" s="1">
        <v>1804</v>
      </c>
      <c r="B172" s="1" t="s">
        <v>224</v>
      </c>
      <c r="C172" s="1">
        <v>250</v>
      </c>
      <c r="D172" s="1">
        <v>0.25800000000000001</v>
      </c>
      <c r="E172" s="2">
        <v>5.16E-2</v>
      </c>
      <c r="F172" s="2">
        <v>5.16E-2</v>
      </c>
      <c r="G172" s="1" t="s">
        <v>271</v>
      </c>
    </row>
    <row r="173" spans="1:7" x14ac:dyDescent="0.3">
      <c r="A173" s="1">
        <v>1804</v>
      </c>
      <c r="B173" s="1" t="s">
        <v>225</v>
      </c>
      <c r="C173" s="1">
        <v>100</v>
      </c>
      <c r="D173" s="1">
        <v>0.129</v>
      </c>
      <c r="E173" s="2">
        <v>3.44E-2</v>
      </c>
      <c r="F173" s="2">
        <v>3.44E-2</v>
      </c>
      <c r="G173" s="1" t="s">
        <v>271</v>
      </c>
    </row>
    <row r="174" spans="1:7" x14ac:dyDescent="0.3">
      <c r="A174" s="1">
        <v>1804</v>
      </c>
      <c r="B174" s="1" t="s">
        <v>226</v>
      </c>
      <c r="C174" s="1">
        <v>100</v>
      </c>
      <c r="D174" s="1">
        <v>0.215</v>
      </c>
      <c r="E174" s="2">
        <v>5.16E-2</v>
      </c>
      <c r="F174" s="2">
        <v>5.16E-2</v>
      </c>
      <c r="G174" s="1" t="s">
        <v>271</v>
      </c>
    </row>
    <row r="175" spans="1:7" x14ac:dyDescent="0.3">
      <c r="A175" s="1">
        <v>1804</v>
      </c>
      <c r="B175" s="1" t="s">
        <v>243</v>
      </c>
      <c r="C175" s="1">
        <v>50</v>
      </c>
      <c r="D175" s="1">
        <v>0.25800000000000001</v>
      </c>
      <c r="E175" s="2">
        <v>5.16E-2</v>
      </c>
      <c r="F175" s="2">
        <v>5.16E-2</v>
      </c>
      <c r="G175" s="1" t="s">
        <v>271</v>
      </c>
    </row>
    <row r="176" spans="1:7" x14ac:dyDescent="0.3">
      <c r="A176" s="1">
        <v>2801</v>
      </c>
      <c r="B176" s="1" t="s">
        <v>220</v>
      </c>
      <c r="C176" s="1">
        <v>6</v>
      </c>
      <c r="D176" s="1">
        <v>215</v>
      </c>
      <c r="E176" s="2">
        <v>41.5</v>
      </c>
      <c r="F176" s="2">
        <v>62</v>
      </c>
      <c r="G176" s="1" t="s">
        <v>236</v>
      </c>
    </row>
    <row r="177" spans="1:7" x14ac:dyDescent="0.3">
      <c r="A177" s="1">
        <v>2801</v>
      </c>
      <c r="B177" s="1" t="s">
        <v>221</v>
      </c>
      <c r="C177" s="1">
        <v>6</v>
      </c>
      <c r="D177" s="1">
        <v>21.5</v>
      </c>
      <c r="E177" s="2">
        <v>5</v>
      </c>
      <c r="F177" s="2">
        <v>7.5</v>
      </c>
      <c r="G177" s="1" t="s">
        <v>236</v>
      </c>
    </row>
    <row r="178" spans="1:7" x14ac:dyDescent="0.3">
      <c r="A178" s="1">
        <v>2801</v>
      </c>
      <c r="B178" s="1" t="s">
        <v>228</v>
      </c>
      <c r="C178" s="1">
        <v>6</v>
      </c>
      <c r="D178" s="1">
        <v>21.5</v>
      </c>
      <c r="E178" s="2">
        <v>5</v>
      </c>
      <c r="F178" s="2">
        <v>7.5</v>
      </c>
      <c r="G178" s="1" t="s">
        <v>236</v>
      </c>
    </row>
    <row r="179" spans="1:7" x14ac:dyDescent="0.3">
      <c r="A179" s="1">
        <v>2801</v>
      </c>
      <c r="B179" s="1" t="s">
        <v>222</v>
      </c>
      <c r="C179" s="1">
        <v>4</v>
      </c>
      <c r="D179" s="1">
        <v>0.129</v>
      </c>
      <c r="E179" s="2">
        <v>2.75E-2</v>
      </c>
      <c r="F179" s="2">
        <v>4.1300000000000003E-2</v>
      </c>
      <c r="G179" s="1" t="s">
        <v>236</v>
      </c>
    </row>
    <row r="180" spans="1:7" x14ac:dyDescent="0.3">
      <c r="A180" s="1">
        <v>2801</v>
      </c>
      <c r="B180" s="1" t="s">
        <v>223</v>
      </c>
      <c r="C180" s="1">
        <v>4</v>
      </c>
      <c r="D180" s="1">
        <v>0.129</v>
      </c>
      <c r="E180" s="2">
        <v>2.75E-2</v>
      </c>
      <c r="F180" s="2">
        <v>4.1300000000000003E-2</v>
      </c>
      <c r="G180" s="1" t="s">
        <v>236</v>
      </c>
    </row>
    <row r="181" spans="1:7" x14ac:dyDescent="0.3">
      <c r="A181" s="1">
        <v>2801</v>
      </c>
      <c r="B181" s="1" t="s">
        <v>224</v>
      </c>
      <c r="C181" s="1">
        <v>4</v>
      </c>
      <c r="D181" s="1">
        <v>0.17199999999999999</v>
      </c>
      <c r="E181" s="2">
        <v>3.44E-2</v>
      </c>
      <c r="F181" s="2">
        <v>5.16E-2</v>
      </c>
      <c r="G181" s="1" t="s">
        <v>236</v>
      </c>
    </row>
    <row r="182" spans="1:7" x14ac:dyDescent="0.3">
      <c r="A182" s="1">
        <v>2801</v>
      </c>
      <c r="B182" s="1" t="s">
        <v>229</v>
      </c>
      <c r="C182" s="1">
        <v>4</v>
      </c>
      <c r="D182" s="1">
        <v>4.2999999999999997E-2</v>
      </c>
      <c r="E182" s="2">
        <v>1.03E-2</v>
      </c>
      <c r="F182" s="2">
        <v>1.55E-2</v>
      </c>
      <c r="G182" s="1" t="s">
        <v>236</v>
      </c>
    </row>
    <row r="183" spans="1:7" x14ac:dyDescent="0.3">
      <c r="A183" s="1">
        <v>2801</v>
      </c>
      <c r="B183" s="1" t="s">
        <v>243</v>
      </c>
      <c r="C183" s="1">
        <v>4</v>
      </c>
      <c r="D183" s="1">
        <v>0.17199999999999999</v>
      </c>
      <c r="E183" s="2">
        <v>3.44E-2</v>
      </c>
      <c r="F183" s="2">
        <v>5.16E-2</v>
      </c>
      <c r="G183" s="1" t="s">
        <v>236</v>
      </c>
    </row>
    <row r="184" spans="1:7" x14ac:dyDescent="0.3">
      <c r="A184" s="1">
        <v>2801</v>
      </c>
      <c r="B184" s="1" t="s">
        <v>225</v>
      </c>
      <c r="C184" s="1">
        <v>3</v>
      </c>
      <c r="D184" s="1">
        <v>8.5999999999999993E-2</v>
      </c>
      <c r="E184" s="2">
        <v>1.72E-2</v>
      </c>
      <c r="F184" s="2">
        <v>2.58E-2</v>
      </c>
      <c r="G184" s="1" t="s">
        <v>236</v>
      </c>
    </row>
    <row r="185" spans="1:7" x14ac:dyDescent="0.3">
      <c r="A185" s="1">
        <v>2801</v>
      </c>
      <c r="B185" s="1" t="s">
        <v>226</v>
      </c>
      <c r="C185" s="1">
        <v>3</v>
      </c>
      <c r="D185" s="1">
        <v>0.17199999999999999</v>
      </c>
      <c r="E185" s="2">
        <v>3.44E-2</v>
      </c>
      <c r="F185" s="2">
        <v>5.16E-2</v>
      </c>
      <c r="G185" s="1" t="s">
        <v>236</v>
      </c>
    </row>
    <row r="186" spans="1:7" x14ac:dyDescent="0.3">
      <c r="A186" s="1">
        <v>1901</v>
      </c>
      <c r="B186" s="1" t="s">
        <v>220</v>
      </c>
      <c r="C186" s="1">
        <v>1000</v>
      </c>
      <c r="D186" s="1">
        <v>500</v>
      </c>
      <c r="E186" s="2">
        <v>125</v>
      </c>
      <c r="F186" s="2">
        <v>125</v>
      </c>
      <c r="G186" s="1" t="s">
        <v>272</v>
      </c>
    </row>
    <row r="187" spans="1:7" x14ac:dyDescent="0.3">
      <c r="A187" s="1">
        <v>1902</v>
      </c>
      <c r="B187" s="1" t="s">
        <v>221</v>
      </c>
      <c r="C187" s="1">
        <v>1000</v>
      </c>
      <c r="D187" s="1">
        <v>50</v>
      </c>
      <c r="E187" s="2">
        <v>15</v>
      </c>
      <c r="F187" s="2">
        <v>15</v>
      </c>
      <c r="G187" s="1" t="s">
        <v>273</v>
      </c>
    </row>
    <row r="188" spans="1:7" x14ac:dyDescent="0.3">
      <c r="A188" s="1">
        <v>1903</v>
      </c>
      <c r="B188" s="1" t="s">
        <v>222</v>
      </c>
      <c r="C188" s="1">
        <v>260</v>
      </c>
      <c r="D188" s="1">
        <v>0.25</v>
      </c>
      <c r="E188" s="2">
        <v>0.05</v>
      </c>
      <c r="F188" s="2">
        <v>0.05</v>
      </c>
      <c r="G188" s="1" t="s">
        <v>274</v>
      </c>
    </row>
    <row r="189" spans="1:7" x14ac:dyDescent="0.3">
      <c r="A189" s="1">
        <v>1903</v>
      </c>
      <c r="B189" s="1" t="s">
        <v>223</v>
      </c>
      <c r="C189" s="1">
        <v>260</v>
      </c>
      <c r="D189" s="1">
        <v>0.25</v>
      </c>
      <c r="E189" s="2">
        <v>0.05</v>
      </c>
      <c r="F189" s="2">
        <v>0.05</v>
      </c>
      <c r="G189" s="1" t="s">
        <v>274</v>
      </c>
    </row>
    <row r="190" spans="1:7" x14ac:dyDescent="0.3">
      <c r="A190" s="1">
        <v>1903</v>
      </c>
      <c r="B190" s="1" t="s">
        <v>224</v>
      </c>
      <c r="C190" s="1">
        <v>260</v>
      </c>
      <c r="D190" s="1">
        <v>0.3</v>
      </c>
      <c r="E190" s="2">
        <v>0.06</v>
      </c>
      <c r="F190" s="2">
        <v>0.06</v>
      </c>
      <c r="G190" s="1" t="s">
        <v>274</v>
      </c>
    </row>
    <row r="191" spans="1:7" x14ac:dyDescent="0.3">
      <c r="A191" s="1">
        <v>1903</v>
      </c>
      <c r="B191" s="1" t="s">
        <v>225</v>
      </c>
      <c r="C191" s="1">
        <v>110</v>
      </c>
      <c r="D191" s="1">
        <v>0.15</v>
      </c>
      <c r="E191" s="2">
        <v>0.04</v>
      </c>
      <c r="F191" s="2">
        <v>0.04</v>
      </c>
      <c r="G191" s="1" t="s">
        <v>274</v>
      </c>
    </row>
    <row r="192" spans="1:7" x14ac:dyDescent="0.3">
      <c r="A192" s="1">
        <v>1903</v>
      </c>
      <c r="B192" s="1" t="s">
        <v>226</v>
      </c>
      <c r="C192" s="1">
        <v>110</v>
      </c>
      <c r="D192" s="1">
        <v>0.25</v>
      </c>
      <c r="E192" s="2">
        <v>0.06</v>
      </c>
      <c r="F192" s="2">
        <v>0.06</v>
      </c>
      <c r="G192" s="1" t="s">
        <v>274</v>
      </c>
    </row>
    <row r="193" spans="1:7" x14ac:dyDescent="0.3">
      <c r="A193" s="1">
        <v>1904</v>
      </c>
      <c r="B193" s="1" t="s">
        <v>222</v>
      </c>
      <c r="C193" s="1">
        <v>250</v>
      </c>
      <c r="D193" s="1">
        <v>0.25</v>
      </c>
      <c r="E193" s="2">
        <v>0.05</v>
      </c>
      <c r="F193" s="2">
        <v>0.05</v>
      </c>
      <c r="G193" s="1" t="s">
        <v>275</v>
      </c>
    </row>
    <row r="194" spans="1:7" x14ac:dyDescent="0.3">
      <c r="A194" s="1">
        <v>1904</v>
      </c>
      <c r="B194" s="1" t="s">
        <v>223</v>
      </c>
      <c r="C194" s="1">
        <v>250</v>
      </c>
      <c r="D194" s="1">
        <v>0.25</v>
      </c>
      <c r="E194" s="2">
        <v>0.05</v>
      </c>
      <c r="F194" s="2">
        <v>0.05</v>
      </c>
      <c r="G194" s="1" t="s">
        <v>275</v>
      </c>
    </row>
    <row r="195" spans="1:7" x14ac:dyDescent="0.3">
      <c r="A195" s="1">
        <v>1904</v>
      </c>
      <c r="B195" s="1" t="s">
        <v>224</v>
      </c>
      <c r="C195" s="1">
        <v>250</v>
      </c>
      <c r="D195" s="1">
        <v>0.3</v>
      </c>
      <c r="E195" s="2">
        <v>0.06</v>
      </c>
      <c r="F195" s="2">
        <v>0.06</v>
      </c>
      <c r="G195" s="1" t="s">
        <v>275</v>
      </c>
    </row>
    <row r="196" spans="1:7" x14ac:dyDescent="0.3">
      <c r="A196" s="1">
        <v>1904</v>
      </c>
      <c r="B196" s="1" t="s">
        <v>225</v>
      </c>
      <c r="C196" s="1">
        <v>100</v>
      </c>
      <c r="D196" s="1">
        <v>0.15</v>
      </c>
      <c r="E196" s="2">
        <v>0.04</v>
      </c>
      <c r="F196" s="2">
        <v>0.04</v>
      </c>
      <c r="G196" s="1" t="s">
        <v>275</v>
      </c>
    </row>
    <row r="197" spans="1:7" x14ac:dyDescent="0.3">
      <c r="A197" s="1">
        <v>1904</v>
      </c>
      <c r="B197" s="1" t="s">
        <v>226</v>
      </c>
      <c r="C197" s="1">
        <v>100</v>
      </c>
      <c r="D197" s="1">
        <v>0.25</v>
      </c>
      <c r="E197" s="2">
        <v>0.06</v>
      </c>
      <c r="F197" s="2">
        <v>0.06</v>
      </c>
      <c r="G197" s="1" t="s">
        <v>275</v>
      </c>
    </row>
    <row r="198" spans="1:7" x14ac:dyDescent="0.3">
      <c r="A198" s="1">
        <v>1904</v>
      </c>
      <c r="B198" s="1" t="s">
        <v>243</v>
      </c>
      <c r="C198" s="1">
        <v>50</v>
      </c>
      <c r="D198" s="1">
        <v>0.3</v>
      </c>
      <c r="E198" s="2">
        <v>0.06</v>
      </c>
      <c r="F198" s="2">
        <v>0.06</v>
      </c>
      <c r="G198" s="1" t="s">
        <v>275</v>
      </c>
    </row>
    <row r="199" spans="1:7" x14ac:dyDescent="0.3">
      <c r="A199" s="1">
        <v>2901</v>
      </c>
      <c r="B199" s="1" t="s">
        <v>220</v>
      </c>
      <c r="C199" s="1">
        <v>6</v>
      </c>
      <c r="D199" s="1">
        <v>250</v>
      </c>
      <c r="E199" s="2">
        <v>48</v>
      </c>
      <c r="F199" s="2">
        <v>72</v>
      </c>
      <c r="G199" s="1" t="s">
        <v>237</v>
      </c>
    </row>
    <row r="200" spans="1:7" x14ac:dyDescent="0.3">
      <c r="A200" s="1">
        <v>2901</v>
      </c>
      <c r="B200" s="1" t="s">
        <v>221</v>
      </c>
      <c r="C200" s="1">
        <v>6</v>
      </c>
      <c r="D200" s="1">
        <v>25</v>
      </c>
      <c r="E200" s="2">
        <v>6</v>
      </c>
      <c r="F200" s="2">
        <v>9</v>
      </c>
      <c r="G200" s="1" t="s">
        <v>237</v>
      </c>
    </row>
    <row r="201" spans="1:7" x14ac:dyDescent="0.3">
      <c r="A201" s="1">
        <v>2901</v>
      </c>
      <c r="B201" s="1" t="s">
        <v>228</v>
      </c>
      <c r="C201" s="1">
        <v>6</v>
      </c>
      <c r="D201" s="1">
        <v>25</v>
      </c>
      <c r="E201" s="2">
        <v>6</v>
      </c>
      <c r="F201" s="2">
        <v>9</v>
      </c>
      <c r="G201" s="1" t="s">
        <v>237</v>
      </c>
    </row>
    <row r="202" spans="1:7" x14ac:dyDescent="0.3">
      <c r="A202" s="1">
        <v>2901</v>
      </c>
      <c r="B202" s="1" t="s">
        <v>222</v>
      </c>
      <c r="C202" s="1">
        <v>4</v>
      </c>
      <c r="D202" s="1">
        <v>0.15</v>
      </c>
      <c r="E202" s="2">
        <v>3.2000000000000001E-2</v>
      </c>
      <c r="F202" s="2">
        <v>4.8000000000000001E-2</v>
      </c>
      <c r="G202" s="1" t="s">
        <v>237</v>
      </c>
    </row>
    <row r="203" spans="1:7" x14ac:dyDescent="0.3">
      <c r="A203" s="1">
        <v>2901</v>
      </c>
      <c r="B203" s="1" t="s">
        <v>223</v>
      </c>
      <c r="C203" s="1">
        <v>4</v>
      </c>
      <c r="D203" s="1">
        <v>0.15</v>
      </c>
      <c r="E203" s="2">
        <v>3.2000000000000001E-2</v>
      </c>
      <c r="F203" s="2">
        <v>4.8000000000000001E-2</v>
      </c>
      <c r="G203" s="1" t="s">
        <v>237</v>
      </c>
    </row>
    <row r="204" spans="1:7" x14ac:dyDescent="0.3">
      <c r="A204" s="1">
        <v>2901</v>
      </c>
      <c r="B204" s="1" t="s">
        <v>224</v>
      </c>
      <c r="C204" s="1">
        <v>4</v>
      </c>
      <c r="D204" s="1">
        <v>0.2</v>
      </c>
      <c r="E204" s="2">
        <v>0.04</v>
      </c>
      <c r="F204" s="2">
        <v>0.06</v>
      </c>
      <c r="G204" s="1" t="s">
        <v>237</v>
      </c>
    </row>
    <row r="205" spans="1:7" x14ac:dyDescent="0.3">
      <c r="A205" s="1">
        <v>2901</v>
      </c>
      <c r="B205" s="1" t="s">
        <v>229</v>
      </c>
      <c r="C205" s="1">
        <v>4</v>
      </c>
      <c r="D205" s="1">
        <v>0.05</v>
      </c>
      <c r="E205" s="2">
        <v>1.2E-2</v>
      </c>
      <c r="F205" s="2">
        <v>1.7999999999999999E-2</v>
      </c>
      <c r="G205" s="1" t="s">
        <v>237</v>
      </c>
    </row>
    <row r="206" spans="1:7" x14ac:dyDescent="0.3">
      <c r="A206" s="1">
        <v>2901</v>
      </c>
      <c r="B206" s="1" t="s">
        <v>243</v>
      </c>
      <c r="C206" s="1">
        <v>4</v>
      </c>
      <c r="D206" s="1">
        <v>0.2</v>
      </c>
      <c r="E206" s="2">
        <v>0.04</v>
      </c>
      <c r="F206" s="2">
        <v>0.06</v>
      </c>
      <c r="G206" s="1" t="s">
        <v>237</v>
      </c>
    </row>
    <row r="207" spans="1:7" x14ac:dyDescent="0.3">
      <c r="A207" s="1">
        <v>2901</v>
      </c>
      <c r="B207" s="1" t="s">
        <v>225</v>
      </c>
      <c r="C207" s="1">
        <v>3</v>
      </c>
      <c r="D207" s="1">
        <v>0.1</v>
      </c>
      <c r="E207" s="2">
        <v>0.02</v>
      </c>
      <c r="F207" s="2">
        <v>0.03</v>
      </c>
      <c r="G207" s="1" t="s">
        <v>237</v>
      </c>
    </row>
    <row r="208" spans="1:7" x14ac:dyDescent="0.3">
      <c r="A208" s="1">
        <v>2901</v>
      </c>
      <c r="B208" s="1" t="s">
        <v>226</v>
      </c>
      <c r="C208" s="1">
        <v>3</v>
      </c>
      <c r="D208" s="1">
        <v>0.2</v>
      </c>
      <c r="E208" s="2">
        <v>0.04</v>
      </c>
      <c r="F208" s="2">
        <v>0.06</v>
      </c>
      <c r="G208" s="1" t="s">
        <v>237</v>
      </c>
    </row>
    <row r="209" spans="1:7" x14ac:dyDescent="0.3">
      <c r="A209" s="1">
        <v>2001</v>
      </c>
      <c r="B209" s="1" t="s">
        <v>220</v>
      </c>
      <c r="C209" s="1">
        <v>1000</v>
      </c>
      <c r="D209" s="1">
        <v>600</v>
      </c>
      <c r="E209" s="2">
        <v>120</v>
      </c>
      <c r="F209" s="2">
        <v>180</v>
      </c>
      <c r="G209" s="1" t="s">
        <v>276</v>
      </c>
    </row>
    <row r="210" spans="1:7" x14ac:dyDescent="0.3">
      <c r="A210" s="1">
        <v>2002</v>
      </c>
      <c r="B210" s="1" t="s">
        <v>221</v>
      </c>
      <c r="C210" s="1">
        <v>1000</v>
      </c>
      <c r="D210" s="1">
        <v>60</v>
      </c>
      <c r="E210" s="2">
        <v>14.5</v>
      </c>
      <c r="F210" s="2">
        <v>21.5</v>
      </c>
      <c r="G210" s="1" t="s">
        <v>277</v>
      </c>
    </row>
    <row r="211" spans="1:7" x14ac:dyDescent="0.3">
      <c r="A211" s="1">
        <v>2003</v>
      </c>
      <c r="B211" s="1" t="s">
        <v>222</v>
      </c>
      <c r="C211" s="1">
        <v>260</v>
      </c>
      <c r="D211" s="1">
        <v>0.3</v>
      </c>
      <c r="E211" s="2">
        <v>4.8000000000000001E-2</v>
      </c>
      <c r="F211" s="2">
        <v>7.1999999999999995E-2</v>
      </c>
      <c r="G211" s="1" t="s">
        <v>278</v>
      </c>
    </row>
    <row r="212" spans="1:7" x14ac:dyDescent="0.3">
      <c r="A212" s="1">
        <v>2003</v>
      </c>
      <c r="B212" s="1" t="s">
        <v>223</v>
      </c>
      <c r="C212" s="1">
        <v>260</v>
      </c>
      <c r="D212" s="1">
        <v>0.3</v>
      </c>
      <c r="E212" s="2">
        <v>4.8000000000000001E-2</v>
      </c>
      <c r="F212" s="2">
        <v>7.1999999999999995E-2</v>
      </c>
      <c r="G212" s="1" t="s">
        <v>278</v>
      </c>
    </row>
    <row r="213" spans="1:7" x14ac:dyDescent="0.3">
      <c r="A213" s="1">
        <v>2003</v>
      </c>
      <c r="B213" s="1" t="s">
        <v>224</v>
      </c>
      <c r="C213" s="1">
        <v>260</v>
      </c>
      <c r="D213" s="1">
        <v>0.36</v>
      </c>
      <c r="E213" s="2">
        <v>5.7599999999999998E-2</v>
      </c>
      <c r="F213" s="2">
        <v>8.6400000000000005E-2</v>
      </c>
      <c r="G213" s="1" t="s">
        <v>278</v>
      </c>
    </row>
    <row r="214" spans="1:7" x14ac:dyDescent="0.3">
      <c r="A214" s="1">
        <v>2003</v>
      </c>
      <c r="B214" s="1" t="s">
        <v>225</v>
      </c>
      <c r="C214" s="1">
        <v>110</v>
      </c>
      <c r="D214" s="1">
        <v>0.18</v>
      </c>
      <c r="E214" s="2">
        <v>3.8399999999999997E-2</v>
      </c>
      <c r="F214" s="2">
        <v>5.7599999999999998E-2</v>
      </c>
      <c r="G214" s="1" t="s">
        <v>278</v>
      </c>
    </row>
    <row r="215" spans="1:7" x14ac:dyDescent="0.3">
      <c r="A215" s="1">
        <v>2003</v>
      </c>
      <c r="B215" s="1" t="s">
        <v>226</v>
      </c>
      <c r="C215" s="1">
        <v>110</v>
      </c>
      <c r="D215" s="1">
        <v>0.3</v>
      </c>
      <c r="E215" s="2">
        <v>5.7599999999999998E-2</v>
      </c>
      <c r="F215" s="2">
        <v>8.6400000000000005E-2</v>
      </c>
      <c r="G215" s="1" t="s">
        <v>278</v>
      </c>
    </row>
    <row r="216" spans="1:7" x14ac:dyDescent="0.3">
      <c r="A216" s="1">
        <v>2004</v>
      </c>
      <c r="B216" s="1" t="s">
        <v>222</v>
      </c>
      <c r="C216" s="1">
        <v>250</v>
      </c>
      <c r="D216" s="1">
        <v>0.3</v>
      </c>
      <c r="E216" s="2">
        <v>4.8000000000000001E-2</v>
      </c>
      <c r="F216" s="2">
        <v>7.1999999999999995E-2</v>
      </c>
      <c r="G216" s="1" t="s">
        <v>279</v>
      </c>
    </row>
    <row r="217" spans="1:7" x14ac:dyDescent="0.3">
      <c r="A217" s="1">
        <v>2004</v>
      </c>
      <c r="B217" s="1" t="s">
        <v>223</v>
      </c>
      <c r="C217" s="1">
        <v>250</v>
      </c>
      <c r="D217" s="1">
        <v>0.3</v>
      </c>
      <c r="E217" s="2">
        <v>4.8000000000000001E-2</v>
      </c>
      <c r="F217" s="2">
        <v>7.1999999999999995E-2</v>
      </c>
      <c r="G217" s="1" t="s">
        <v>279</v>
      </c>
    </row>
    <row r="218" spans="1:7" x14ac:dyDescent="0.3">
      <c r="A218" s="1">
        <v>2004</v>
      </c>
      <c r="B218" s="1" t="s">
        <v>224</v>
      </c>
      <c r="C218" s="1">
        <v>250</v>
      </c>
      <c r="D218" s="1">
        <v>0.36</v>
      </c>
      <c r="E218" s="2">
        <v>5.7599999999999998E-2</v>
      </c>
      <c r="F218" s="2">
        <v>8.6400000000000005E-2</v>
      </c>
      <c r="G218" s="1" t="s">
        <v>279</v>
      </c>
    </row>
    <row r="219" spans="1:7" x14ac:dyDescent="0.3">
      <c r="A219" s="1">
        <v>2004</v>
      </c>
      <c r="B219" s="1" t="s">
        <v>225</v>
      </c>
      <c r="C219" s="1">
        <v>100</v>
      </c>
      <c r="D219" s="1">
        <v>0.18</v>
      </c>
      <c r="E219" s="2">
        <v>3.8399999999999997E-2</v>
      </c>
      <c r="F219" s="2">
        <v>5.7599999999999998E-2</v>
      </c>
      <c r="G219" s="1" t="s">
        <v>279</v>
      </c>
    </row>
    <row r="220" spans="1:7" x14ac:dyDescent="0.3">
      <c r="A220" s="1">
        <v>2004</v>
      </c>
      <c r="B220" s="1" t="s">
        <v>226</v>
      </c>
      <c r="C220" s="1">
        <v>100</v>
      </c>
      <c r="D220" s="1">
        <v>0.3</v>
      </c>
      <c r="E220" s="2">
        <v>5.7599999999999998E-2</v>
      </c>
      <c r="F220" s="2">
        <v>8.6400000000000005E-2</v>
      </c>
      <c r="G220" s="1" t="s">
        <v>279</v>
      </c>
    </row>
    <row r="221" spans="1:7" x14ac:dyDescent="0.3">
      <c r="A221" s="1">
        <v>2004</v>
      </c>
      <c r="B221" s="1" t="s">
        <v>243</v>
      </c>
      <c r="C221" s="1">
        <v>50</v>
      </c>
      <c r="D221" s="1">
        <v>0.36</v>
      </c>
      <c r="E221" s="2">
        <v>5.7599999999999998E-2</v>
      </c>
      <c r="F221" s="2">
        <v>8.6400000000000005E-2</v>
      </c>
      <c r="G221" s="1" t="s">
        <v>279</v>
      </c>
    </row>
    <row r="222" spans="1:7" x14ac:dyDescent="0.3">
      <c r="A222" s="1">
        <v>3001</v>
      </c>
      <c r="B222" s="1" t="s">
        <v>220</v>
      </c>
      <c r="C222" s="1">
        <v>6</v>
      </c>
      <c r="D222" s="1">
        <v>300</v>
      </c>
      <c r="E222" s="2">
        <v>57.5</v>
      </c>
      <c r="F222" s="2">
        <v>86.5</v>
      </c>
      <c r="G222" s="1" t="s">
        <v>238</v>
      </c>
    </row>
    <row r="223" spans="1:7" x14ac:dyDescent="0.3">
      <c r="A223" s="1">
        <v>3001</v>
      </c>
      <c r="B223" s="1" t="s">
        <v>221</v>
      </c>
      <c r="C223" s="1">
        <v>6</v>
      </c>
      <c r="D223" s="1">
        <v>30</v>
      </c>
      <c r="E223" s="2">
        <v>7</v>
      </c>
      <c r="F223" s="2">
        <v>11</v>
      </c>
      <c r="G223" s="1" t="s">
        <v>238</v>
      </c>
    </row>
    <row r="224" spans="1:7" x14ac:dyDescent="0.3">
      <c r="A224" s="1">
        <v>3001</v>
      </c>
      <c r="B224" s="1" t="s">
        <v>228</v>
      </c>
      <c r="C224" s="1">
        <v>6</v>
      </c>
      <c r="D224" s="1">
        <v>30</v>
      </c>
      <c r="E224" s="2">
        <v>7</v>
      </c>
      <c r="F224" s="2">
        <v>11</v>
      </c>
      <c r="G224" s="1" t="s">
        <v>238</v>
      </c>
    </row>
    <row r="225" spans="1:7" x14ac:dyDescent="0.3">
      <c r="A225" s="1">
        <v>3001</v>
      </c>
      <c r="B225" s="1" t="s">
        <v>222</v>
      </c>
      <c r="C225" s="1">
        <v>4</v>
      </c>
      <c r="D225" s="1">
        <v>0.18</v>
      </c>
      <c r="E225" s="2">
        <v>3.8399999999999997E-2</v>
      </c>
      <c r="F225" s="2">
        <v>5.7599999999999998E-2</v>
      </c>
      <c r="G225" s="1" t="s">
        <v>238</v>
      </c>
    </row>
    <row r="226" spans="1:7" x14ac:dyDescent="0.3">
      <c r="A226" s="1">
        <v>3001</v>
      </c>
      <c r="B226" s="1" t="s">
        <v>223</v>
      </c>
      <c r="C226" s="1">
        <v>4</v>
      </c>
      <c r="D226" s="1">
        <v>0.18</v>
      </c>
      <c r="E226" s="2">
        <v>3.8399999999999997E-2</v>
      </c>
      <c r="F226" s="2">
        <v>5.7599999999999998E-2</v>
      </c>
      <c r="G226" s="1" t="s">
        <v>238</v>
      </c>
    </row>
    <row r="227" spans="1:7" x14ac:dyDescent="0.3">
      <c r="A227" s="1">
        <v>3001</v>
      </c>
      <c r="B227" s="1" t="s">
        <v>224</v>
      </c>
      <c r="C227" s="1">
        <v>4</v>
      </c>
      <c r="D227" s="1">
        <v>0.24</v>
      </c>
      <c r="E227" s="2">
        <v>4.8000000000000001E-2</v>
      </c>
      <c r="F227" s="2">
        <v>7.1999999999999995E-2</v>
      </c>
      <c r="G227" s="1" t="s">
        <v>238</v>
      </c>
    </row>
    <row r="228" spans="1:7" x14ac:dyDescent="0.3">
      <c r="A228" s="1">
        <v>3001</v>
      </c>
      <c r="B228" s="1" t="s">
        <v>229</v>
      </c>
      <c r="C228" s="1">
        <v>4</v>
      </c>
      <c r="D228" s="1">
        <v>0.06</v>
      </c>
      <c r="E228" s="2">
        <v>1.44E-2</v>
      </c>
      <c r="F228" s="2">
        <v>2.1600000000000001E-2</v>
      </c>
      <c r="G228" s="1" t="s">
        <v>238</v>
      </c>
    </row>
    <row r="229" spans="1:7" x14ac:dyDescent="0.3">
      <c r="A229" s="1">
        <v>3001</v>
      </c>
      <c r="B229" s="1" t="s">
        <v>243</v>
      </c>
      <c r="C229" s="1">
        <v>4</v>
      </c>
      <c r="D229" s="1">
        <v>0.24</v>
      </c>
      <c r="E229" s="2">
        <v>4.8000000000000001E-2</v>
      </c>
      <c r="F229" s="2">
        <v>7.1999999999999995E-2</v>
      </c>
      <c r="G229" s="1" t="s">
        <v>238</v>
      </c>
    </row>
    <row r="230" spans="1:7" x14ac:dyDescent="0.3">
      <c r="A230" s="1">
        <v>3001</v>
      </c>
      <c r="B230" s="1" t="s">
        <v>225</v>
      </c>
      <c r="C230" s="1">
        <v>3</v>
      </c>
      <c r="D230" s="1">
        <v>0.12</v>
      </c>
      <c r="E230" s="2">
        <v>2.4E-2</v>
      </c>
      <c r="F230" s="2">
        <v>3.5999999999999997E-2</v>
      </c>
      <c r="G230" s="1" t="s">
        <v>238</v>
      </c>
    </row>
    <row r="231" spans="1:7" x14ac:dyDescent="0.3">
      <c r="A231" s="1">
        <v>3001</v>
      </c>
      <c r="B231" s="1" t="s">
        <v>226</v>
      </c>
      <c r="C231" s="1">
        <v>3</v>
      </c>
      <c r="D231" s="1">
        <v>0.24</v>
      </c>
      <c r="E231" s="2">
        <v>4.8000000000000001E-2</v>
      </c>
      <c r="F231" s="2">
        <v>7.1999999999999995E-2</v>
      </c>
      <c r="G231" s="1" t="s">
        <v>238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9A27-8D29-4595-96E2-008C47A991DB}">
  <dimension ref="A1:C8"/>
  <sheetViews>
    <sheetView tabSelected="1" workbookViewId="0">
      <selection activeCell="G27" sqref="G27"/>
    </sheetView>
  </sheetViews>
  <sheetFormatPr defaultRowHeight="16.5" x14ac:dyDescent="0.3"/>
  <cols>
    <col min="1" max="1" width="11.625" customWidth="1"/>
    <col min="2" max="2" width="17.75" customWidth="1"/>
    <col min="3" max="3" width="21.125" customWidth="1"/>
  </cols>
  <sheetData>
    <row r="1" spans="1:3" x14ac:dyDescent="0.3">
      <c r="A1" s="1" t="s">
        <v>210</v>
      </c>
      <c r="B1" s="1" t="s">
        <v>325</v>
      </c>
      <c r="C1" s="1" t="s">
        <v>326</v>
      </c>
    </row>
    <row r="2" spans="1:3" x14ac:dyDescent="0.3">
      <c r="A2" s="1" t="s">
        <v>327</v>
      </c>
      <c r="B2" s="1">
        <v>3</v>
      </c>
      <c r="C2" s="1">
        <v>0</v>
      </c>
    </row>
    <row r="3" spans="1:3" x14ac:dyDescent="0.3">
      <c r="A3" s="1" t="s">
        <v>328</v>
      </c>
      <c r="B3" s="1">
        <v>6</v>
      </c>
      <c r="C3" s="1">
        <v>0</v>
      </c>
    </row>
    <row r="4" spans="1:3" x14ac:dyDescent="0.3">
      <c r="A4" s="1" t="s">
        <v>329</v>
      </c>
      <c r="B4" s="1">
        <v>6</v>
      </c>
      <c r="C4" s="1">
        <v>2</v>
      </c>
    </row>
    <row r="5" spans="1:3" x14ac:dyDescent="0.3">
      <c r="A5" s="1" t="s">
        <v>330</v>
      </c>
      <c r="B5" s="1">
        <v>9</v>
      </c>
      <c r="C5" s="1">
        <v>3</v>
      </c>
    </row>
    <row r="6" spans="1:3" x14ac:dyDescent="0.3">
      <c r="A6" s="1" t="s">
        <v>331</v>
      </c>
      <c r="B6" s="1">
        <v>12</v>
      </c>
      <c r="C6" s="1">
        <v>4</v>
      </c>
    </row>
    <row r="7" spans="1:3" x14ac:dyDescent="0.3">
      <c r="A7" s="1" t="s">
        <v>332</v>
      </c>
      <c r="B7" s="1">
        <v>15</v>
      </c>
      <c r="C7" s="1">
        <v>4</v>
      </c>
    </row>
    <row r="8" spans="1:3" x14ac:dyDescent="0.3">
      <c r="A8" s="1"/>
      <c r="B8" s="1"/>
      <c r="C8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D266-0A25-43B9-8C57-1B2DE3A951CA}">
  <dimension ref="A1:H21"/>
  <sheetViews>
    <sheetView workbookViewId="0">
      <selection activeCell="D34" sqref="D34"/>
    </sheetView>
  </sheetViews>
  <sheetFormatPr defaultRowHeight="16.5" x14ac:dyDescent="0.3"/>
  <cols>
    <col min="2" max="4" width="14.375" customWidth="1"/>
    <col min="5" max="5" width="16" customWidth="1"/>
    <col min="6" max="6" width="12.875" customWidth="1"/>
    <col min="7" max="7" width="10.25" customWidth="1"/>
    <col min="8" max="8" width="35.625" customWidth="1"/>
    <col min="9" max="9" width="18.875" customWidth="1"/>
  </cols>
  <sheetData>
    <row r="1" spans="1:8" x14ac:dyDescent="0.3">
      <c r="A1" s="1" t="s">
        <v>0</v>
      </c>
      <c r="B1" s="1" t="s">
        <v>36</v>
      </c>
      <c r="C1" s="1" t="s">
        <v>210</v>
      </c>
      <c r="D1" s="1" t="s">
        <v>1</v>
      </c>
      <c r="E1" s="1" t="s">
        <v>204</v>
      </c>
      <c r="F1" s="1" t="s">
        <v>205</v>
      </c>
      <c r="G1" s="1" t="s">
        <v>194</v>
      </c>
      <c r="H1" s="1" t="s">
        <v>2</v>
      </c>
    </row>
    <row r="2" spans="1:8" x14ac:dyDescent="0.3">
      <c r="A2" s="1">
        <v>20000</v>
      </c>
      <c r="B2" s="1" t="s">
        <v>206</v>
      </c>
      <c r="C2" s="1" t="s">
        <v>211</v>
      </c>
      <c r="D2" s="1" t="s">
        <v>208</v>
      </c>
      <c r="E2" s="1">
        <v>50</v>
      </c>
      <c r="F2" s="1">
        <v>0</v>
      </c>
      <c r="G2" s="1">
        <v>999</v>
      </c>
      <c r="H2" s="1" t="s">
        <v>207</v>
      </c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8C5B-443D-45C4-801C-6E2A1C02F9D6}">
  <dimension ref="A1:L28"/>
  <sheetViews>
    <sheetView workbookViewId="0">
      <selection activeCell="C33" sqref="C33"/>
    </sheetView>
  </sheetViews>
  <sheetFormatPr defaultRowHeight="16.5" x14ac:dyDescent="0.3"/>
  <cols>
    <col min="2" max="2" width="33.5" customWidth="1"/>
    <col min="3" max="3" width="30.25" customWidth="1"/>
    <col min="4" max="4" width="23.625" customWidth="1"/>
    <col min="6" max="6" width="11.875" customWidth="1"/>
    <col min="7" max="7" width="28.25" customWidth="1"/>
  </cols>
  <sheetData>
    <row r="1" spans="1:12" x14ac:dyDescent="0.3">
      <c r="A1" s="1" t="s">
        <v>0</v>
      </c>
      <c r="B1" s="1" t="s">
        <v>36</v>
      </c>
      <c r="C1" s="1" t="s">
        <v>210</v>
      </c>
      <c r="D1" s="1" t="s">
        <v>1</v>
      </c>
      <c r="E1" s="1" t="s">
        <v>3</v>
      </c>
      <c r="F1" s="1" t="s">
        <v>194</v>
      </c>
      <c r="G1" s="1" t="s">
        <v>2</v>
      </c>
      <c r="H1" s="1"/>
      <c r="I1" s="1"/>
    </row>
    <row r="2" spans="1:12" x14ac:dyDescent="0.3">
      <c r="A2" s="1">
        <v>30000</v>
      </c>
      <c r="B2" s="1" t="s">
        <v>197</v>
      </c>
      <c r="C2" s="1" t="s">
        <v>211</v>
      </c>
      <c r="D2" s="1" t="s">
        <v>195</v>
      </c>
      <c r="E2" s="1">
        <v>1</v>
      </c>
      <c r="F2" s="1">
        <v>9999</v>
      </c>
      <c r="G2" s="1" t="s">
        <v>196</v>
      </c>
      <c r="H2" s="1"/>
      <c r="I2" s="1"/>
      <c r="J2" s="1"/>
      <c r="K2" s="1"/>
      <c r="L2" s="1"/>
    </row>
    <row r="3" spans="1:12" x14ac:dyDescent="0.3">
      <c r="A3" s="1">
        <v>30001</v>
      </c>
      <c r="B3" s="1" t="s">
        <v>200</v>
      </c>
      <c r="C3" s="1" t="s">
        <v>212</v>
      </c>
      <c r="D3" s="1" t="s">
        <v>202</v>
      </c>
      <c r="E3" s="1">
        <v>2</v>
      </c>
      <c r="F3" s="1">
        <v>9999</v>
      </c>
      <c r="G3" s="1" t="s">
        <v>198</v>
      </c>
      <c r="H3" s="1"/>
      <c r="I3" s="1"/>
      <c r="J3" s="1"/>
      <c r="K3" s="1"/>
      <c r="L3" s="1"/>
    </row>
    <row r="4" spans="1:12" x14ac:dyDescent="0.3">
      <c r="A4" s="1">
        <v>30002</v>
      </c>
      <c r="B4" s="1" t="s">
        <v>201</v>
      </c>
      <c r="C4" s="1" t="s">
        <v>213</v>
      </c>
      <c r="D4" s="1" t="s">
        <v>203</v>
      </c>
      <c r="E4" s="1">
        <v>3</v>
      </c>
      <c r="F4" s="1">
        <v>9999</v>
      </c>
      <c r="G4" s="1" t="s">
        <v>199</v>
      </c>
      <c r="H4" s="1"/>
      <c r="I4" s="1"/>
      <c r="J4" s="1"/>
      <c r="K4" s="1"/>
      <c r="L4" s="1"/>
    </row>
    <row r="5" spans="1:12" x14ac:dyDescent="0.3">
      <c r="A5" s="1">
        <v>30003</v>
      </c>
      <c r="B5" s="1" t="s">
        <v>309</v>
      </c>
      <c r="C5" s="1" t="s">
        <v>211</v>
      </c>
      <c r="D5" s="1" t="s">
        <v>320</v>
      </c>
      <c r="E5" s="1">
        <v>1</v>
      </c>
      <c r="F5" s="1">
        <v>9999</v>
      </c>
      <c r="G5" s="1" t="s">
        <v>312</v>
      </c>
      <c r="H5" s="1"/>
      <c r="I5" s="1"/>
      <c r="J5" s="1"/>
      <c r="K5" s="1"/>
      <c r="L5" s="1"/>
    </row>
    <row r="6" spans="1:12" x14ac:dyDescent="0.3">
      <c r="A6" s="1">
        <v>30004</v>
      </c>
      <c r="B6" s="1" t="s">
        <v>311</v>
      </c>
      <c r="C6" s="1" t="s">
        <v>212</v>
      </c>
      <c r="D6" s="1" t="s">
        <v>321</v>
      </c>
      <c r="E6" s="1">
        <v>2</v>
      </c>
      <c r="F6" s="1">
        <v>9999</v>
      </c>
      <c r="G6" s="1" t="s">
        <v>312</v>
      </c>
      <c r="H6" s="1"/>
      <c r="I6" s="1"/>
      <c r="J6" s="1"/>
      <c r="K6" s="1"/>
      <c r="L6" s="1"/>
    </row>
    <row r="7" spans="1:12" x14ac:dyDescent="0.3">
      <c r="A7" s="1">
        <v>30005</v>
      </c>
      <c r="B7" s="1" t="s">
        <v>310</v>
      </c>
      <c r="C7" s="1" t="s">
        <v>213</v>
      </c>
      <c r="D7" s="1" t="s">
        <v>322</v>
      </c>
      <c r="E7" s="1">
        <v>3</v>
      </c>
      <c r="F7" s="1">
        <v>9999</v>
      </c>
      <c r="G7" s="1" t="s">
        <v>312</v>
      </c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1213-A96E-48AE-9979-BF10E514BD27}">
  <dimension ref="A1:B16"/>
  <sheetViews>
    <sheetView workbookViewId="0">
      <selection activeCell="B16" sqref="B16"/>
    </sheetView>
  </sheetViews>
  <sheetFormatPr defaultRowHeight="16.5" x14ac:dyDescent="0.3"/>
  <cols>
    <col min="1" max="1" width="12.75" customWidth="1"/>
    <col min="2" max="2" width="14.5" customWidth="1"/>
    <col min="3" max="3" width="15.25" customWidth="1"/>
  </cols>
  <sheetData>
    <row r="1" spans="1:2" x14ac:dyDescent="0.3">
      <c r="A1" s="1" t="s">
        <v>307</v>
      </c>
      <c r="B1" s="1" t="s">
        <v>308</v>
      </c>
    </row>
    <row r="2" spans="1:2" x14ac:dyDescent="0.3">
      <c r="A2" s="1">
        <v>1</v>
      </c>
      <c r="B2" s="1">
        <v>200</v>
      </c>
    </row>
    <row r="3" spans="1:2" x14ac:dyDescent="0.3">
      <c r="A3" s="1">
        <v>2</v>
      </c>
      <c r="B3" s="1">
        <v>400</v>
      </c>
    </row>
    <row r="4" spans="1:2" x14ac:dyDescent="0.3">
      <c r="A4" s="1">
        <v>3</v>
      </c>
      <c r="B4" s="1">
        <v>600</v>
      </c>
    </row>
    <row r="5" spans="1:2" x14ac:dyDescent="0.3">
      <c r="A5" s="1">
        <v>4</v>
      </c>
      <c r="B5" s="1">
        <v>800</v>
      </c>
    </row>
    <row r="6" spans="1:2" x14ac:dyDescent="0.3">
      <c r="A6" s="1">
        <v>5</v>
      </c>
      <c r="B6" s="1">
        <v>1000</v>
      </c>
    </row>
    <row r="7" spans="1:2" x14ac:dyDescent="0.3">
      <c r="A7" s="1">
        <v>6</v>
      </c>
      <c r="B7" s="1">
        <v>1200</v>
      </c>
    </row>
    <row r="8" spans="1:2" x14ac:dyDescent="0.3">
      <c r="A8" s="1">
        <v>7</v>
      </c>
      <c r="B8" s="1">
        <v>1600</v>
      </c>
    </row>
    <row r="9" spans="1:2" x14ac:dyDescent="0.3">
      <c r="A9" s="1">
        <v>8</v>
      </c>
      <c r="B9" s="1">
        <v>2000</v>
      </c>
    </row>
    <row r="10" spans="1:2" x14ac:dyDescent="0.3">
      <c r="A10" s="1">
        <v>9</v>
      </c>
      <c r="B10" s="1">
        <v>2400</v>
      </c>
    </row>
    <row r="11" spans="1:2" x14ac:dyDescent="0.3">
      <c r="A11" s="1">
        <v>10</v>
      </c>
      <c r="B11" s="1">
        <v>3000</v>
      </c>
    </row>
    <row r="12" spans="1:2" x14ac:dyDescent="0.3">
      <c r="A12" s="1">
        <v>11</v>
      </c>
      <c r="B12" s="1">
        <v>3600</v>
      </c>
    </row>
    <row r="13" spans="1:2" x14ac:dyDescent="0.3">
      <c r="A13" s="1">
        <v>12</v>
      </c>
      <c r="B13" s="1">
        <v>4200</v>
      </c>
    </row>
    <row r="14" spans="1:2" x14ac:dyDescent="0.3">
      <c r="A14" s="1">
        <v>13</v>
      </c>
      <c r="B14" s="1">
        <v>4800</v>
      </c>
    </row>
    <row r="15" spans="1:2" x14ac:dyDescent="0.3">
      <c r="A15" s="1">
        <v>14</v>
      </c>
      <c r="B15" s="1">
        <v>5400</v>
      </c>
    </row>
    <row r="16" spans="1:2" x14ac:dyDescent="0.3">
      <c r="A16" s="1">
        <v>15</v>
      </c>
      <c r="B16" s="1">
        <v>6000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6E58-B954-4DC3-AA95-8384A11267D9}">
  <dimension ref="A1:G15"/>
  <sheetViews>
    <sheetView workbookViewId="0">
      <selection activeCell="C11" sqref="C11"/>
    </sheetView>
  </sheetViews>
  <sheetFormatPr defaultRowHeight="16.5" x14ac:dyDescent="0.3"/>
  <cols>
    <col min="3" max="3" width="20" customWidth="1"/>
    <col min="5" max="5" width="15.5" customWidth="1"/>
    <col min="7" max="7" width="15.5" customWidth="1"/>
  </cols>
  <sheetData>
    <row r="1" spans="1:7" x14ac:dyDescent="0.3">
      <c r="A1" s="1" t="s">
        <v>3</v>
      </c>
      <c r="B1" s="1" t="s">
        <v>313</v>
      </c>
      <c r="C1" s="1" t="s">
        <v>314</v>
      </c>
      <c r="D1" s="1" t="s">
        <v>318</v>
      </c>
      <c r="E1" s="1" t="s">
        <v>317</v>
      </c>
      <c r="F1" s="1" t="s">
        <v>316</v>
      </c>
      <c r="G1" s="1" t="s">
        <v>315</v>
      </c>
    </row>
    <row r="2" spans="1:7" x14ac:dyDescent="0.3">
      <c r="A2" s="1">
        <v>1</v>
      </c>
      <c r="B2" s="1">
        <v>30003</v>
      </c>
      <c r="C2" s="1">
        <f>ROUND(2*A2,0)</f>
        <v>2</v>
      </c>
      <c r="D2" s="1">
        <v>30004</v>
      </c>
      <c r="E2" s="1">
        <f>MAX(0,ROUND(A2-2,0))</f>
        <v>0</v>
      </c>
      <c r="F2" s="1">
        <v>30005</v>
      </c>
      <c r="G2" s="1">
        <f>MAX(0,ROUND((A2-5)/2,0))</f>
        <v>0</v>
      </c>
    </row>
    <row r="3" spans="1:7" x14ac:dyDescent="0.3">
      <c r="A3" s="1">
        <v>2</v>
      </c>
      <c r="B3" s="1">
        <v>30003</v>
      </c>
      <c r="C3" s="1">
        <f t="shared" ref="C3:C11" si="0">ROUND(2*A3,0)</f>
        <v>4</v>
      </c>
      <c r="D3" s="1">
        <v>30004</v>
      </c>
      <c r="E3" s="1">
        <f t="shared" ref="E3:E11" si="1">MAX(0,ROUND(A3-2,0))</f>
        <v>0</v>
      </c>
      <c r="F3" s="1">
        <v>30005</v>
      </c>
      <c r="G3" s="1">
        <f t="shared" ref="G3:G11" si="2">MAX(0,ROUND((A3-5)/2,0))</f>
        <v>0</v>
      </c>
    </row>
    <row r="4" spans="1:7" x14ac:dyDescent="0.3">
      <c r="A4" s="1">
        <v>3</v>
      </c>
      <c r="B4" s="1">
        <v>30003</v>
      </c>
      <c r="C4" s="1">
        <f t="shared" si="0"/>
        <v>6</v>
      </c>
      <c r="D4" s="1">
        <v>30004</v>
      </c>
      <c r="E4" s="1">
        <f t="shared" si="1"/>
        <v>1</v>
      </c>
      <c r="F4" s="1">
        <v>30005</v>
      </c>
      <c r="G4" s="1">
        <f t="shared" si="2"/>
        <v>0</v>
      </c>
    </row>
    <row r="5" spans="1:7" x14ac:dyDescent="0.3">
      <c r="A5" s="1">
        <v>4</v>
      </c>
      <c r="B5" s="1">
        <v>30003</v>
      </c>
      <c r="C5" s="1">
        <f t="shared" si="0"/>
        <v>8</v>
      </c>
      <c r="D5" s="1">
        <v>30004</v>
      </c>
      <c r="E5" s="1">
        <f t="shared" si="1"/>
        <v>2</v>
      </c>
      <c r="F5" s="1">
        <v>30005</v>
      </c>
      <c r="G5" s="1">
        <f t="shared" si="2"/>
        <v>0</v>
      </c>
    </row>
    <row r="6" spans="1:7" x14ac:dyDescent="0.3">
      <c r="A6" s="1">
        <v>5</v>
      </c>
      <c r="B6" s="1">
        <v>30003</v>
      </c>
      <c r="C6" s="1">
        <f t="shared" si="0"/>
        <v>10</v>
      </c>
      <c r="D6" s="1">
        <v>30004</v>
      </c>
      <c r="E6" s="1">
        <f t="shared" si="1"/>
        <v>3</v>
      </c>
      <c r="F6" s="1">
        <v>30005</v>
      </c>
      <c r="G6" s="1">
        <f t="shared" si="2"/>
        <v>0</v>
      </c>
    </row>
    <row r="7" spans="1:7" x14ac:dyDescent="0.3">
      <c r="A7" s="1">
        <v>6</v>
      </c>
      <c r="B7" s="1">
        <v>30003</v>
      </c>
      <c r="C7" s="1">
        <f t="shared" si="0"/>
        <v>12</v>
      </c>
      <c r="D7" s="1">
        <v>30004</v>
      </c>
      <c r="E7" s="1">
        <f t="shared" si="1"/>
        <v>4</v>
      </c>
      <c r="F7" s="1">
        <v>30005</v>
      </c>
      <c r="G7" s="1">
        <f t="shared" si="2"/>
        <v>1</v>
      </c>
    </row>
    <row r="8" spans="1:7" x14ac:dyDescent="0.3">
      <c r="A8" s="1">
        <v>7</v>
      </c>
      <c r="B8" s="1">
        <v>30003</v>
      </c>
      <c r="C8" s="1">
        <f t="shared" si="0"/>
        <v>14</v>
      </c>
      <c r="D8" s="1">
        <v>30004</v>
      </c>
      <c r="E8" s="1">
        <f t="shared" si="1"/>
        <v>5</v>
      </c>
      <c r="F8" s="1">
        <v>30005</v>
      </c>
      <c r="G8" s="1">
        <f t="shared" si="2"/>
        <v>1</v>
      </c>
    </row>
    <row r="9" spans="1:7" x14ac:dyDescent="0.3">
      <c r="A9" s="1">
        <v>8</v>
      </c>
      <c r="B9" s="1">
        <v>30003</v>
      </c>
      <c r="C9" s="1">
        <f t="shared" si="0"/>
        <v>16</v>
      </c>
      <c r="D9" s="1">
        <v>30004</v>
      </c>
      <c r="E9" s="1">
        <f t="shared" si="1"/>
        <v>6</v>
      </c>
      <c r="F9" s="1">
        <v>30005</v>
      </c>
      <c r="G9" s="1">
        <f t="shared" si="2"/>
        <v>2</v>
      </c>
    </row>
    <row r="10" spans="1:7" x14ac:dyDescent="0.3">
      <c r="A10" s="1">
        <v>9</v>
      </c>
      <c r="B10" s="1">
        <v>30003</v>
      </c>
      <c r="C10" s="1">
        <f t="shared" si="0"/>
        <v>18</v>
      </c>
      <c r="D10" s="1">
        <v>30004</v>
      </c>
      <c r="E10" s="1">
        <f t="shared" si="1"/>
        <v>7</v>
      </c>
      <c r="F10" s="1">
        <v>30005</v>
      </c>
      <c r="G10" s="1">
        <f t="shared" si="2"/>
        <v>2</v>
      </c>
    </row>
    <row r="11" spans="1:7" x14ac:dyDescent="0.3">
      <c r="A11" s="1">
        <v>10</v>
      </c>
      <c r="B11" s="1">
        <v>30003</v>
      </c>
      <c r="C11" s="1">
        <f t="shared" si="0"/>
        <v>20</v>
      </c>
      <c r="D11" s="1">
        <v>30004</v>
      </c>
      <c r="E11" s="1">
        <f t="shared" si="1"/>
        <v>8</v>
      </c>
      <c r="F11" s="1">
        <v>30005</v>
      </c>
      <c r="G11" s="1">
        <f t="shared" si="2"/>
        <v>3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480A-6299-43DA-A60A-6003AF21D987}">
  <dimension ref="A1:C11"/>
  <sheetViews>
    <sheetView workbookViewId="0">
      <selection activeCell="A5" sqref="A5"/>
    </sheetView>
  </sheetViews>
  <sheetFormatPr defaultRowHeight="16.5" x14ac:dyDescent="0.3"/>
  <cols>
    <col min="1" max="1" width="12.125" customWidth="1"/>
    <col min="2" max="2" width="13.25" customWidth="1"/>
    <col min="3" max="3" width="24.375" customWidth="1"/>
  </cols>
  <sheetData>
    <row r="1" spans="1:3" x14ac:dyDescent="0.3">
      <c r="A1" s="1" t="s">
        <v>35</v>
      </c>
      <c r="B1" s="1" t="s">
        <v>282</v>
      </c>
      <c r="C1" s="1" t="s">
        <v>283</v>
      </c>
    </row>
    <row r="2" spans="1:3" x14ac:dyDescent="0.3">
      <c r="A2" s="1" t="s">
        <v>284</v>
      </c>
      <c r="B2" s="1">
        <v>1</v>
      </c>
      <c r="C2" s="1" t="s">
        <v>285</v>
      </c>
    </row>
    <row r="3" spans="1:3" x14ac:dyDescent="0.3">
      <c r="A3" s="1" t="s">
        <v>286</v>
      </c>
      <c r="B3" s="1">
        <v>1</v>
      </c>
      <c r="C3" s="1" t="s">
        <v>287</v>
      </c>
    </row>
    <row r="4" spans="1:3" x14ac:dyDescent="0.3">
      <c r="A4" s="1" t="s">
        <v>288</v>
      </c>
      <c r="B4" s="1">
        <v>2</v>
      </c>
      <c r="C4" s="1" t="s">
        <v>289</v>
      </c>
    </row>
    <row r="5" spans="1:3" x14ac:dyDescent="0.3">
      <c r="A5" s="1" t="s">
        <v>131</v>
      </c>
      <c r="B5" s="1">
        <v>3</v>
      </c>
      <c r="C5" s="1" t="s">
        <v>290</v>
      </c>
    </row>
    <row r="6" spans="1:3" x14ac:dyDescent="0.3">
      <c r="A6" s="1" t="s">
        <v>291</v>
      </c>
      <c r="B6" s="1">
        <v>3</v>
      </c>
      <c r="C6" s="1" t="s">
        <v>290</v>
      </c>
    </row>
    <row r="7" spans="1:3" x14ac:dyDescent="0.3">
      <c r="A7" s="1" t="s">
        <v>292</v>
      </c>
      <c r="B7" s="1">
        <v>3</v>
      </c>
      <c r="C7" s="1" t="s">
        <v>290</v>
      </c>
    </row>
    <row r="8" spans="1:3" x14ac:dyDescent="0.3">
      <c r="A8" s="1" t="s">
        <v>293</v>
      </c>
      <c r="B8" s="1">
        <v>3</v>
      </c>
      <c r="C8" s="1" t="s">
        <v>290</v>
      </c>
    </row>
    <row r="9" spans="1:3" x14ac:dyDescent="0.3">
      <c r="A9" s="1" t="s">
        <v>294</v>
      </c>
      <c r="B9" s="1">
        <v>3</v>
      </c>
      <c r="C9" s="1" t="s">
        <v>290</v>
      </c>
    </row>
    <row r="10" spans="1:3" x14ac:dyDescent="0.3">
      <c r="A10" s="1" t="s">
        <v>295</v>
      </c>
      <c r="B10" s="1">
        <v>4</v>
      </c>
      <c r="C10" s="1" t="s">
        <v>296</v>
      </c>
    </row>
    <row r="11" spans="1:3" x14ac:dyDescent="0.3">
      <c r="A11" s="1"/>
      <c r="B11" s="1"/>
      <c r="C11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290D-EF41-4D42-8CEE-0743F32935E5}">
  <dimension ref="A1:C11"/>
  <sheetViews>
    <sheetView workbookViewId="0">
      <selection activeCell="I24" sqref="I24"/>
    </sheetView>
  </sheetViews>
  <sheetFormatPr defaultRowHeight="16.5" x14ac:dyDescent="0.3"/>
  <cols>
    <col min="2" max="2" width="20.25" customWidth="1"/>
    <col min="3" max="3" width="21" customWidth="1"/>
  </cols>
  <sheetData>
    <row r="1" spans="1:3" x14ac:dyDescent="0.3">
      <c r="A1" s="1" t="s">
        <v>3</v>
      </c>
      <c r="B1" s="1" t="s">
        <v>281</v>
      </c>
      <c r="C1" s="1" t="s">
        <v>283</v>
      </c>
    </row>
    <row r="2" spans="1:3" x14ac:dyDescent="0.3">
      <c r="A2" s="1">
        <v>1</v>
      </c>
      <c r="B2" s="1">
        <v>2101</v>
      </c>
      <c r="C2" s="1" t="s">
        <v>297</v>
      </c>
    </row>
    <row r="3" spans="1:3" x14ac:dyDescent="0.3">
      <c r="A3" s="1">
        <v>2</v>
      </c>
      <c r="B3" s="1">
        <v>2201</v>
      </c>
      <c r="C3" s="1" t="s">
        <v>298</v>
      </c>
    </row>
    <row r="4" spans="1:3" x14ac:dyDescent="0.3">
      <c r="A4" s="1">
        <v>3</v>
      </c>
      <c r="B4" s="1">
        <v>2301</v>
      </c>
      <c r="C4" s="1" t="s">
        <v>299</v>
      </c>
    </row>
    <row r="5" spans="1:3" x14ac:dyDescent="0.3">
      <c r="A5" s="1">
        <v>4</v>
      </c>
      <c r="B5" s="1">
        <v>2401</v>
      </c>
      <c r="C5" s="1" t="s">
        <v>300</v>
      </c>
    </row>
    <row r="6" spans="1:3" x14ac:dyDescent="0.3">
      <c r="A6" s="1">
        <v>5</v>
      </c>
      <c r="B6" s="1">
        <v>2501</v>
      </c>
      <c r="C6" s="1" t="s">
        <v>301</v>
      </c>
    </row>
    <row r="7" spans="1:3" x14ac:dyDescent="0.3">
      <c r="A7" s="1">
        <v>6</v>
      </c>
      <c r="B7" s="1">
        <v>2601</v>
      </c>
      <c r="C7" s="1" t="s">
        <v>302</v>
      </c>
    </row>
    <row r="8" spans="1:3" x14ac:dyDescent="0.3">
      <c r="A8" s="1">
        <v>7</v>
      </c>
      <c r="B8" s="1">
        <v>2701</v>
      </c>
      <c r="C8" s="1" t="s">
        <v>303</v>
      </c>
    </row>
    <row r="9" spans="1:3" x14ac:dyDescent="0.3">
      <c r="A9" s="1">
        <v>8</v>
      </c>
      <c r="B9" s="1">
        <v>2801</v>
      </c>
      <c r="C9" s="1" t="s">
        <v>304</v>
      </c>
    </row>
    <row r="10" spans="1:3" x14ac:dyDescent="0.3">
      <c r="A10" s="1">
        <v>9</v>
      </c>
      <c r="B10" s="1">
        <v>2901</v>
      </c>
      <c r="C10" s="1" t="s">
        <v>305</v>
      </c>
    </row>
    <row r="11" spans="1:3" x14ac:dyDescent="0.3">
      <c r="A11" s="1">
        <v>10</v>
      </c>
      <c r="B11" s="1">
        <v>3001</v>
      </c>
      <c r="C11" s="1" t="s">
        <v>306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EFD9-F8F2-4764-9470-45DFB13D7E05}">
  <dimension ref="A1:B4"/>
  <sheetViews>
    <sheetView workbookViewId="0">
      <selection activeCell="B12" sqref="B12"/>
    </sheetView>
  </sheetViews>
  <sheetFormatPr defaultRowHeight="16.5" x14ac:dyDescent="0.3"/>
  <cols>
    <col min="1" max="1" width="11.5" customWidth="1"/>
    <col min="2" max="2" width="10.625" customWidth="1"/>
  </cols>
  <sheetData>
    <row r="1" spans="1:2" x14ac:dyDescent="0.3">
      <c r="A1" s="1" t="s">
        <v>323</v>
      </c>
      <c r="B1" s="1" t="s">
        <v>319</v>
      </c>
    </row>
    <row r="2" spans="1:2" x14ac:dyDescent="0.3">
      <c r="A2" s="1">
        <v>30003</v>
      </c>
      <c r="B2" s="1">
        <v>200</v>
      </c>
    </row>
    <row r="3" spans="1:2" x14ac:dyDescent="0.3">
      <c r="A3" s="1">
        <v>30004</v>
      </c>
      <c r="B3" s="1">
        <v>600</v>
      </c>
    </row>
    <row r="4" spans="1:2" x14ac:dyDescent="0.3">
      <c r="A4" s="1">
        <v>30005</v>
      </c>
      <c r="B4" s="1">
        <v>1800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Equipment</vt:lpstr>
      <vt:lpstr>EquipmentUpgradeCost</vt:lpstr>
      <vt:lpstr>StatPool</vt:lpstr>
      <vt:lpstr>GradeConfig</vt:lpstr>
      <vt:lpstr>Consumable</vt:lpstr>
      <vt:lpstr>Material</vt:lpstr>
      <vt:lpstr>EquipmentLevelExpData</vt:lpstr>
      <vt:lpstr>EquipmentDecomposition</vt:lpstr>
      <vt:lpstr>EquipPartMapping</vt:lpstr>
      <vt:lpstr>TierMapping</vt:lpstr>
      <vt:lpstr>EquipmentUpgradeBookExp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이형규</dc:creator>
  <cp:lastModifiedBy>이형규</cp:lastModifiedBy>
  <dcterms:created xsi:type="dcterms:W3CDTF">2026-03-04T14:55:30Z</dcterms:created>
  <dcterms:modified xsi:type="dcterms:W3CDTF">2026-03-18T13:41:32Z</dcterms:modified>
</cp:coreProperties>
</file>