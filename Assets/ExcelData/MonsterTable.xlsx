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c\Documents\GitHub\OperationKivotos\Assets\ExcelData\"/>
    </mc:Choice>
  </mc:AlternateContent>
  <xr:revisionPtr revIDLastSave="0" documentId="13_ncr:1_{2562BBE0-B2A2-4142-9BF2-6DED77BEB972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MonsterData" sheetId="1" r:id="rId1"/>
    <sheet name="MonsterLevelByStat" sheetId="2" r:id="rId2"/>
    <sheet name="MapMonsterConfig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1" i="2" l="1"/>
  <c r="E4" i="2"/>
  <c r="E5" i="2" s="1"/>
  <c r="E6" i="2" s="1"/>
  <c r="E7" i="2" s="1"/>
  <c r="E8" i="2" s="1"/>
  <c r="E9" i="2" s="1"/>
  <c r="E10" i="2" s="1"/>
  <c r="E11" i="2" s="1"/>
  <c r="E12" i="2" s="1"/>
  <c r="E13" i="2" s="1"/>
  <c r="E14" i="2" s="1"/>
  <c r="E15" i="2" s="1"/>
  <c r="E16" i="2" s="1"/>
  <c r="E17" i="2" s="1"/>
  <c r="E18" i="2" s="1"/>
  <c r="E19" i="2" s="1"/>
  <c r="E20" i="2" s="1"/>
  <c r="E21" i="2" s="1"/>
  <c r="E22" i="2" s="1"/>
  <c r="E23" i="2" s="1"/>
  <c r="E24" i="2" s="1"/>
  <c r="E25" i="2" s="1"/>
  <c r="E26" i="2" s="1"/>
  <c r="E27" i="2" s="1"/>
  <c r="E28" i="2" s="1"/>
  <c r="E29" i="2" s="1"/>
  <c r="E30" i="2" s="1"/>
  <c r="E3" i="2"/>
  <c r="C31" i="2"/>
  <c r="C4" i="2"/>
  <c r="C5" i="2"/>
  <c r="C6" i="2" s="1"/>
  <c r="C7" i="2" s="1"/>
  <c r="C8" i="2" s="1"/>
  <c r="C9" i="2" s="1"/>
  <c r="C10" i="2" s="1"/>
  <c r="C11" i="2" s="1"/>
  <c r="C12" i="2" s="1"/>
  <c r="C13" i="2" s="1"/>
  <c r="C14" i="2" s="1"/>
  <c r="C15" i="2" s="1"/>
  <c r="C16" i="2" s="1"/>
  <c r="C17" i="2" s="1"/>
  <c r="C18" i="2" s="1"/>
  <c r="C19" i="2" s="1"/>
  <c r="C20" i="2" s="1"/>
  <c r="C21" i="2" s="1"/>
  <c r="C22" i="2" s="1"/>
  <c r="C23" i="2" s="1"/>
  <c r="C24" i="2" s="1"/>
  <c r="C25" i="2" s="1"/>
  <c r="C26" i="2" s="1"/>
  <c r="C27" i="2" s="1"/>
  <c r="C28" i="2" s="1"/>
  <c r="C29" i="2" s="1"/>
  <c r="C30" i="2" s="1"/>
  <c r="D4" i="2"/>
  <c r="D5" i="2" s="1"/>
  <c r="D6" i="2" s="1"/>
  <c r="D7" i="2" s="1"/>
  <c r="D8" i="2" s="1"/>
  <c r="D9" i="2" s="1"/>
  <c r="D10" i="2" s="1"/>
  <c r="D11" i="2" s="1"/>
  <c r="D12" i="2" s="1"/>
  <c r="D13" i="2" s="1"/>
  <c r="D14" i="2" s="1"/>
  <c r="D15" i="2" s="1"/>
  <c r="D16" i="2" s="1"/>
  <c r="D17" i="2" s="1"/>
  <c r="D18" i="2" s="1"/>
  <c r="D19" i="2" s="1"/>
  <c r="D20" i="2" s="1"/>
  <c r="D21" i="2" s="1"/>
  <c r="D22" i="2" s="1"/>
  <c r="D23" i="2" s="1"/>
  <c r="D24" i="2" s="1"/>
  <c r="D25" i="2" s="1"/>
  <c r="D26" i="2" s="1"/>
  <c r="D27" i="2" s="1"/>
  <c r="D28" i="2" s="1"/>
  <c r="D29" i="2" s="1"/>
  <c r="D30" i="2" s="1"/>
  <c r="D31" i="2" s="1"/>
  <c r="D3" i="2"/>
  <c r="C3" i="2"/>
  <c r="B31" i="2"/>
  <c r="B4" i="2"/>
  <c r="B5" i="2"/>
  <c r="B6" i="2"/>
  <c r="B7" i="2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" i="2"/>
</calcChain>
</file>

<file path=xl/sharedStrings.xml><?xml version="1.0" encoding="utf-8"?>
<sst xmlns="http://schemas.openxmlformats.org/spreadsheetml/2006/main" count="60" uniqueCount="43">
  <si>
    <t>monsterName</t>
    <phoneticPr fontId="1" type="noConversion"/>
  </si>
  <si>
    <t>DropTableID</t>
    <phoneticPr fontId="1" type="noConversion"/>
  </si>
  <si>
    <t>ExpReward</t>
    <phoneticPr fontId="1" type="noConversion"/>
  </si>
  <si>
    <t>AddressableKey</t>
    <phoneticPr fontId="1" type="noConversion"/>
  </si>
  <si>
    <t>Droid_Helmet_AR</t>
    <phoneticPr fontId="1" type="noConversion"/>
  </si>
  <si>
    <t>Droid_Helmet_RL</t>
    <phoneticPr fontId="1" type="noConversion"/>
  </si>
  <si>
    <t>Droid_Helmet_Tank</t>
    <phoneticPr fontId="1" type="noConversion"/>
  </si>
  <si>
    <t>ID</t>
    <phoneticPr fontId="1" type="noConversion"/>
  </si>
  <si>
    <t>Hieronymus_Boss</t>
    <phoneticPr fontId="1" type="noConversion"/>
  </si>
  <si>
    <t>Field_Droid_Helmet_AR</t>
    <phoneticPr fontId="1" type="noConversion"/>
  </si>
  <si>
    <t>Field_Droid_Helmet_RL</t>
    <phoneticPr fontId="1" type="noConversion"/>
  </si>
  <si>
    <t>Field_Droid_Helmet_Tank</t>
    <phoneticPr fontId="1" type="noConversion"/>
  </si>
  <si>
    <t>BaseMaxHP</t>
    <phoneticPr fontId="1" type="noConversion"/>
  </si>
  <si>
    <t>BaseAttack</t>
    <phoneticPr fontId="1" type="noConversion"/>
  </si>
  <si>
    <t>BaseDefense</t>
    <phoneticPr fontId="1" type="noConversion"/>
  </si>
  <si>
    <t>BaseSpeed</t>
    <phoneticPr fontId="1" type="noConversion"/>
  </si>
  <si>
    <t>Level</t>
    <phoneticPr fontId="1" type="noConversion"/>
  </si>
  <si>
    <t>Dungeon_Droid_Helmet_AR</t>
    <phoneticPr fontId="1" type="noConversion"/>
  </si>
  <si>
    <t>Dungeon_Droid_Helmet_RL</t>
    <phoneticPr fontId="1" type="noConversion"/>
  </si>
  <si>
    <t>Dungeon_Droid_Helmet_Tank</t>
    <phoneticPr fontId="1" type="noConversion"/>
  </si>
  <si>
    <t>MaxHPRate</t>
    <phoneticPr fontId="1" type="noConversion"/>
  </si>
  <si>
    <t>AttackRate</t>
    <phoneticPr fontId="1" type="noConversion"/>
  </si>
  <si>
    <t>DefenseRate</t>
    <phoneticPr fontId="1" type="noConversion"/>
  </si>
  <si>
    <t>공격력 증가율</t>
    <phoneticPr fontId="1" type="noConversion"/>
  </si>
  <si>
    <t>체력 증가율</t>
    <phoneticPr fontId="1" type="noConversion"/>
  </si>
  <si>
    <t>방어력 증가율</t>
    <phoneticPr fontId="1" type="noConversion"/>
  </si>
  <si>
    <t>Field</t>
    <phoneticPr fontId="1" type="noConversion"/>
  </si>
  <si>
    <t>Dungeon</t>
    <phoneticPr fontId="1" type="noConversion"/>
  </si>
  <si>
    <t>Boss</t>
    <phoneticPr fontId="1" type="noConversion"/>
  </si>
  <si>
    <t>MapID</t>
    <phoneticPr fontId="1" type="noConversion"/>
  </si>
  <si>
    <t>MapName</t>
    <phoneticPr fontId="1" type="noConversion"/>
  </si>
  <si>
    <t>Normal</t>
    <phoneticPr fontId="1" type="noConversion"/>
  </si>
  <si>
    <t>SpawnType</t>
    <phoneticPr fontId="1" type="noConversion"/>
  </si>
  <si>
    <t>Grade</t>
    <phoneticPr fontId="1" type="noConversion"/>
  </si>
  <si>
    <t>Elite</t>
    <phoneticPr fontId="1" type="noConversion"/>
  </si>
  <si>
    <t>NormalMonsterLevel</t>
    <phoneticPr fontId="1" type="noConversion"/>
  </si>
  <si>
    <t>EliteMonsterLevel</t>
    <phoneticPr fontId="1" type="noConversion"/>
  </si>
  <si>
    <t>키보토스 뒷골목</t>
    <phoneticPr fontId="1" type="noConversion"/>
  </si>
  <si>
    <t>CreditReward</t>
    <phoneticPr fontId="1" type="noConversion"/>
  </si>
  <si>
    <t>CreditRate</t>
    <phoneticPr fontId="1" type="noConversion"/>
  </si>
  <si>
    <t>크레딧 증가율</t>
    <phoneticPr fontId="1" type="noConversion"/>
  </si>
  <si>
    <t>키보토스 뒷골목 깊은 곳</t>
    <phoneticPr fontId="1" type="noConversion"/>
  </si>
  <si>
    <t>예로니무스 토벌전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</si>
</sst>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7"/>
  <sheetViews>
    <sheetView tabSelected="1" workbookViewId="0">
      <selection activeCell="E21" sqref="E21"/>
    </sheetView>
  </sheetViews>
  <sheetFormatPr defaultRowHeight="16.5" x14ac:dyDescent="0.3"/>
  <cols>
    <col min="1" max="1" width="11.875" customWidth="1"/>
    <col min="2" max="2" width="46.375" customWidth="1"/>
    <col min="3" max="5" width="20.125" customWidth="1"/>
    <col min="6" max="6" width="12.25" customWidth="1"/>
    <col min="7" max="7" width="11.625" customWidth="1"/>
    <col min="8" max="8" width="13.125" customWidth="1"/>
    <col min="9" max="9" width="10.375" customWidth="1"/>
    <col min="10" max="10" width="12" customWidth="1"/>
    <col min="11" max="11" width="15" customWidth="1"/>
    <col min="12" max="12" width="15.375" customWidth="1"/>
  </cols>
  <sheetData>
    <row r="1" spans="1:12" x14ac:dyDescent="0.3">
      <c r="A1" s="1" t="s">
        <v>7</v>
      </c>
      <c r="B1" s="1" t="s">
        <v>0</v>
      </c>
      <c r="C1" s="1" t="s">
        <v>3</v>
      </c>
      <c r="D1" s="1" t="s">
        <v>32</v>
      </c>
      <c r="E1" s="1" t="s">
        <v>33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</v>
      </c>
      <c r="K1" s="1" t="s">
        <v>2</v>
      </c>
      <c r="L1" s="1" t="s">
        <v>38</v>
      </c>
    </row>
    <row r="2" spans="1:12" x14ac:dyDescent="0.3">
      <c r="A2" s="1">
        <v>2000</v>
      </c>
      <c r="B2" s="1" t="s">
        <v>9</v>
      </c>
      <c r="C2" s="1" t="s">
        <v>4</v>
      </c>
      <c r="D2" s="1" t="s">
        <v>26</v>
      </c>
      <c r="E2" s="1" t="s">
        <v>31</v>
      </c>
      <c r="F2" s="1">
        <v>2000</v>
      </c>
      <c r="G2" s="1">
        <v>15</v>
      </c>
      <c r="H2" s="1">
        <v>5</v>
      </c>
      <c r="I2" s="1">
        <v>5</v>
      </c>
      <c r="J2" s="1">
        <v>101</v>
      </c>
      <c r="K2" s="1">
        <v>100</v>
      </c>
      <c r="L2" s="1">
        <v>500</v>
      </c>
    </row>
    <row r="3" spans="1:12" x14ac:dyDescent="0.3">
      <c r="A3" s="1">
        <v>2001</v>
      </c>
      <c r="B3" s="1" t="s">
        <v>10</v>
      </c>
      <c r="C3" s="1" t="s">
        <v>5</v>
      </c>
      <c r="D3" s="1" t="s">
        <v>26</v>
      </c>
      <c r="E3" s="1" t="s">
        <v>31</v>
      </c>
      <c r="F3" s="1">
        <v>2500</v>
      </c>
      <c r="G3" s="1">
        <v>250</v>
      </c>
      <c r="H3" s="1">
        <v>5</v>
      </c>
      <c r="I3" s="1">
        <v>5</v>
      </c>
      <c r="J3" s="1">
        <v>101</v>
      </c>
      <c r="K3" s="1">
        <v>100</v>
      </c>
      <c r="L3" s="1">
        <v>500</v>
      </c>
    </row>
    <row r="4" spans="1:12" x14ac:dyDescent="0.3">
      <c r="A4" s="1">
        <v>2002</v>
      </c>
      <c r="B4" s="1" t="s">
        <v>11</v>
      </c>
      <c r="C4" s="1" t="s">
        <v>6</v>
      </c>
      <c r="D4" s="1" t="s">
        <v>26</v>
      </c>
      <c r="E4" s="1" t="s">
        <v>34</v>
      </c>
      <c r="F4" s="1">
        <v>10000</v>
      </c>
      <c r="G4" s="1">
        <v>500</v>
      </c>
      <c r="H4" s="1">
        <v>5</v>
      </c>
      <c r="I4" s="1">
        <v>5</v>
      </c>
      <c r="J4" s="1">
        <v>102</v>
      </c>
      <c r="K4" s="1">
        <v>200</v>
      </c>
      <c r="L4" s="1">
        <v>1000</v>
      </c>
    </row>
    <row r="5" spans="1:12" x14ac:dyDescent="0.3">
      <c r="A5" s="1">
        <v>2003</v>
      </c>
      <c r="B5" s="1" t="s">
        <v>17</v>
      </c>
      <c r="C5" s="1" t="s">
        <v>4</v>
      </c>
      <c r="D5" s="1" t="s">
        <v>27</v>
      </c>
      <c r="E5" s="1" t="s">
        <v>31</v>
      </c>
      <c r="F5" s="1">
        <v>2000</v>
      </c>
      <c r="G5" s="1">
        <v>15</v>
      </c>
      <c r="H5" s="1">
        <v>5</v>
      </c>
      <c r="I5" s="1">
        <v>5</v>
      </c>
      <c r="J5" s="1">
        <v>-1</v>
      </c>
      <c r="K5" s="1">
        <v>10</v>
      </c>
      <c r="L5" s="1">
        <v>0</v>
      </c>
    </row>
    <row r="6" spans="1:12" x14ac:dyDescent="0.3">
      <c r="A6" s="1">
        <v>2004</v>
      </c>
      <c r="B6" s="1" t="s">
        <v>18</v>
      </c>
      <c r="C6" s="1" t="s">
        <v>5</v>
      </c>
      <c r="D6" s="1" t="s">
        <v>27</v>
      </c>
      <c r="E6" s="1" t="s">
        <v>31</v>
      </c>
      <c r="F6" s="1">
        <v>2500</v>
      </c>
      <c r="G6" s="1">
        <v>250</v>
      </c>
      <c r="H6" s="1">
        <v>5</v>
      </c>
      <c r="I6" s="1">
        <v>5</v>
      </c>
      <c r="J6" s="1">
        <v>-1</v>
      </c>
      <c r="K6" s="1">
        <v>10</v>
      </c>
      <c r="L6" s="1">
        <v>0</v>
      </c>
    </row>
    <row r="7" spans="1:12" x14ac:dyDescent="0.3">
      <c r="A7" s="1">
        <v>2005</v>
      </c>
      <c r="B7" s="1" t="s">
        <v>19</v>
      </c>
      <c r="C7" s="1" t="s">
        <v>6</v>
      </c>
      <c r="D7" s="1" t="s">
        <v>27</v>
      </c>
      <c r="E7" s="1" t="s">
        <v>34</v>
      </c>
      <c r="F7" s="1">
        <v>10000</v>
      </c>
      <c r="G7" s="1">
        <v>500</v>
      </c>
      <c r="H7" s="1">
        <v>5</v>
      </c>
      <c r="I7" s="1">
        <v>5</v>
      </c>
      <c r="J7" s="1">
        <v>-1</v>
      </c>
      <c r="K7" s="1">
        <v>20</v>
      </c>
      <c r="L7" s="1">
        <v>0</v>
      </c>
    </row>
    <row r="8" spans="1:12" x14ac:dyDescent="0.3">
      <c r="A8" s="1">
        <v>3000</v>
      </c>
      <c r="B8" s="1" t="s">
        <v>8</v>
      </c>
      <c r="C8" s="1" t="s">
        <v>8</v>
      </c>
      <c r="D8" s="1" t="s">
        <v>27</v>
      </c>
      <c r="E8" s="1" t="s">
        <v>28</v>
      </c>
      <c r="F8" s="1">
        <v>40000</v>
      </c>
      <c r="G8" s="1">
        <v>500</v>
      </c>
      <c r="H8" s="1">
        <v>5</v>
      </c>
      <c r="I8" s="1">
        <v>0</v>
      </c>
      <c r="J8" s="1">
        <v>-1</v>
      </c>
      <c r="K8" s="1">
        <v>3000</v>
      </c>
      <c r="L8" s="1">
        <v>0</v>
      </c>
    </row>
    <row r="9" spans="1:12" x14ac:dyDescent="0.3">
      <c r="A9" s="1"/>
      <c r="B9" s="1"/>
      <c r="C9" s="1"/>
      <c r="D9" s="1"/>
      <c r="E9" s="1"/>
      <c r="F9" s="1"/>
      <c r="G9" s="1"/>
      <c r="H9" s="1"/>
      <c r="I9" s="1"/>
      <c r="J9" s="1"/>
      <c r="K9" s="1"/>
    </row>
    <row r="10" spans="1:12" x14ac:dyDescent="0.3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</row>
    <row r="11" spans="1:12" x14ac:dyDescent="0.3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</row>
    <row r="12" spans="1:12" x14ac:dyDescent="0.3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</row>
    <row r="13" spans="1:12" x14ac:dyDescent="0.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</row>
    <row r="14" spans="1:12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2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</row>
    <row r="16" spans="1:12" x14ac:dyDescent="0.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</row>
    <row r="17" spans="1:11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7FCFDF-1279-4DFD-A519-64CEEBE26844}">
  <dimension ref="A1:G31"/>
  <sheetViews>
    <sheetView workbookViewId="0">
      <selection activeCell="H12" sqref="H12"/>
    </sheetView>
  </sheetViews>
  <sheetFormatPr defaultRowHeight="16.5" x14ac:dyDescent="0.3"/>
  <cols>
    <col min="1" max="1" width="10.875" customWidth="1"/>
    <col min="2" max="2" width="23" customWidth="1"/>
    <col min="3" max="3" width="23.75" customWidth="1"/>
    <col min="4" max="4" width="25" customWidth="1"/>
    <col min="5" max="5" width="10.375" style="1" bestFit="1" customWidth="1"/>
    <col min="7" max="7" width="13.75" bestFit="1" customWidth="1"/>
  </cols>
  <sheetData>
    <row r="1" spans="1:7" x14ac:dyDescent="0.3">
      <c r="A1" s="1" t="s">
        <v>16</v>
      </c>
      <c r="B1" s="1" t="s">
        <v>20</v>
      </c>
      <c r="C1" s="1" t="s">
        <v>21</v>
      </c>
      <c r="D1" s="1" t="s">
        <v>22</v>
      </c>
      <c r="E1" s="1" t="s">
        <v>39</v>
      </c>
      <c r="G1" s="2" t="s">
        <v>24</v>
      </c>
    </row>
    <row r="2" spans="1:7" x14ac:dyDescent="0.3">
      <c r="A2" s="1">
        <v>1</v>
      </c>
      <c r="B2" s="1">
        <v>1</v>
      </c>
      <c r="C2" s="1">
        <v>1</v>
      </c>
      <c r="D2" s="1">
        <v>1</v>
      </c>
      <c r="E2" s="1">
        <v>1</v>
      </c>
      <c r="G2">
        <v>1.1000000000000001</v>
      </c>
    </row>
    <row r="3" spans="1:7" x14ac:dyDescent="0.3">
      <c r="A3" s="1">
        <v>2</v>
      </c>
      <c r="B3" s="1">
        <f>ROUND(B2 * $G$2,2)</f>
        <v>1.1000000000000001</v>
      </c>
      <c r="C3" s="1">
        <f>ROUND(C2 * $G$4,2)</f>
        <v>1.05</v>
      </c>
      <c r="D3" s="1">
        <f>ROUND(D2 * $G$6,2)</f>
        <v>1.02</v>
      </c>
      <c r="E3" s="1">
        <f>ROUND(E2 * $G$8,2)</f>
        <v>1.2</v>
      </c>
      <c r="G3" t="s">
        <v>23</v>
      </c>
    </row>
    <row r="4" spans="1:7" x14ac:dyDescent="0.3">
      <c r="A4" s="1">
        <v>3</v>
      </c>
      <c r="B4" s="1">
        <f t="shared" ref="B4:B31" si="0">ROUND(B3 * $G$2,2)</f>
        <v>1.21</v>
      </c>
      <c r="C4" s="1">
        <f t="shared" ref="C4:C30" si="1">ROUND(C3 * $G$4,2)</f>
        <v>1.1000000000000001</v>
      </c>
      <c r="D4" s="1">
        <f t="shared" ref="D4:D31" si="2">ROUND(D3 * $G$6,2)</f>
        <v>1.04</v>
      </c>
      <c r="E4" s="1">
        <f t="shared" ref="E4:E30" si="3">ROUND(E3 * $G$8,2)</f>
        <v>1.44</v>
      </c>
      <c r="G4">
        <v>1.05</v>
      </c>
    </row>
    <row r="5" spans="1:7" x14ac:dyDescent="0.3">
      <c r="A5" s="1">
        <v>4</v>
      </c>
      <c r="B5" s="1">
        <f t="shared" si="0"/>
        <v>1.33</v>
      </c>
      <c r="C5" s="1">
        <f t="shared" si="1"/>
        <v>1.1599999999999999</v>
      </c>
      <c r="D5" s="1">
        <f t="shared" si="2"/>
        <v>1.06</v>
      </c>
      <c r="E5" s="1">
        <f t="shared" si="3"/>
        <v>1.73</v>
      </c>
      <c r="G5" t="s">
        <v>25</v>
      </c>
    </row>
    <row r="6" spans="1:7" x14ac:dyDescent="0.3">
      <c r="A6" s="1">
        <v>5</v>
      </c>
      <c r="B6" s="1">
        <f t="shared" si="0"/>
        <v>1.46</v>
      </c>
      <c r="C6" s="1">
        <f t="shared" si="1"/>
        <v>1.22</v>
      </c>
      <c r="D6" s="1">
        <f t="shared" si="2"/>
        <v>1.08</v>
      </c>
      <c r="E6" s="1">
        <f t="shared" si="3"/>
        <v>2.08</v>
      </c>
      <c r="G6">
        <v>1.02</v>
      </c>
    </row>
    <row r="7" spans="1:7" x14ac:dyDescent="0.3">
      <c r="A7" s="1">
        <v>6</v>
      </c>
      <c r="B7" s="1">
        <f t="shared" si="0"/>
        <v>1.61</v>
      </c>
      <c r="C7" s="1">
        <f t="shared" si="1"/>
        <v>1.28</v>
      </c>
      <c r="D7" s="1">
        <f t="shared" si="2"/>
        <v>1.1000000000000001</v>
      </c>
      <c r="E7" s="1">
        <f t="shared" si="3"/>
        <v>2.5</v>
      </c>
      <c r="G7" t="s">
        <v>40</v>
      </c>
    </row>
    <row r="8" spans="1:7" x14ac:dyDescent="0.3">
      <c r="A8" s="1">
        <v>7</v>
      </c>
      <c r="B8" s="1">
        <f t="shared" si="0"/>
        <v>1.77</v>
      </c>
      <c r="C8" s="1">
        <f t="shared" si="1"/>
        <v>1.34</v>
      </c>
      <c r="D8" s="1">
        <f t="shared" si="2"/>
        <v>1.1200000000000001</v>
      </c>
      <c r="E8" s="1">
        <f t="shared" si="3"/>
        <v>3</v>
      </c>
      <c r="G8">
        <v>1.2</v>
      </c>
    </row>
    <row r="9" spans="1:7" x14ac:dyDescent="0.3">
      <c r="A9" s="1">
        <v>8</v>
      </c>
      <c r="B9" s="1">
        <f t="shared" si="0"/>
        <v>1.95</v>
      </c>
      <c r="C9" s="1">
        <f t="shared" si="1"/>
        <v>1.41</v>
      </c>
      <c r="D9" s="1">
        <f t="shared" si="2"/>
        <v>1.1399999999999999</v>
      </c>
      <c r="E9" s="1">
        <f t="shared" si="3"/>
        <v>3.6</v>
      </c>
    </row>
    <row r="10" spans="1:7" x14ac:dyDescent="0.3">
      <c r="A10" s="1">
        <v>9</v>
      </c>
      <c r="B10" s="1">
        <f t="shared" si="0"/>
        <v>2.15</v>
      </c>
      <c r="C10" s="1">
        <f t="shared" si="1"/>
        <v>1.48</v>
      </c>
      <c r="D10" s="1">
        <f t="shared" si="2"/>
        <v>1.1599999999999999</v>
      </c>
      <c r="E10" s="1">
        <f t="shared" si="3"/>
        <v>4.32</v>
      </c>
    </row>
    <row r="11" spans="1:7" x14ac:dyDescent="0.3">
      <c r="A11" s="1">
        <v>10</v>
      </c>
      <c r="B11" s="1">
        <f t="shared" si="0"/>
        <v>2.37</v>
      </c>
      <c r="C11" s="1">
        <f t="shared" si="1"/>
        <v>1.55</v>
      </c>
      <c r="D11" s="1">
        <f t="shared" si="2"/>
        <v>1.18</v>
      </c>
      <c r="E11" s="1">
        <f t="shared" si="3"/>
        <v>5.18</v>
      </c>
    </row>
    <row r="12" spans="1:7" x14ac:dyDescent="0.3">
      <c r="A12" s="1">
        <v>11</v>
      </c>
      <c r="B12" s="1">
        <f t="shared" si="0"/>
        <v>2.61</v>
      </c>
      <c r="C12" s="1">
        <f t="shared" si="1"/>
        <v>1.63</v>
      </c>
      <c r="D12" s="1">
        <f t="shared" si="2"/>
        <v>1.2</v>
      </c>
      <c r="E12" s="1">
        <f t="shared" si="3"/>
        <v>6.22</v>
      </c>
    </row>
    <row r="13" spans="1:7" x14ac:dyDescent="0.3">
      <c r="A13" s="1">
        <v>12</v>
      </c>
      <c r="B13" s="1">
        <f t="shared" si="0"/>
        <v>2.87</v>
      </c>
      <c r="C13" s="1">
        <f t="shared" si="1"/>
        <v>1.71</v>
      </c>
      <c r="D13" s="1">
        <f t="shared" si="2"/>
        <v>1.22</v>
      </c>
      <c r="E13" s="1">
        <f t="shared" si="3"/>
        <v>7.46</v>
      </c>
    </row>
    <row r="14" spans="1:7" x14ac:dyDescent="0.3">
      <c r="A14" s="1">
        <v>13</v>
      </c>
      <c r="B14" s="1">
        <f t="shared" si="0"/>
        <v>3.16</v>
      </c>
      <c r="C14" s="1">
        <f t="shared" si="1"/>
        <v>1.8</v>
      </c>
      <c r="D14" s="1">
        <f t="shared" si="2"/>
        <v>1.24</v>
      </c>
      <c r="E14" s="1">
        <f t="shared" si="3"/>
        <v>8.9499999999999993</v>
      </c>
    </row>
    <row r="15" spans="1:7" x14ac:dyDescent="0.3">
      <c r="A15" s="1">
        <v>14</v>
      </c>
      <c r="B15" s="1">
        <f t="shared" si="0"/>
        <v>3.48</v>
      </c>
      <c r="C15" s="1">
        <f t="shared" si="1"/>
        <v>1.89</v>
      </c>
      <c r="D15" s="1">
        <f t="shared" si="2"/>
        <v>1.26</v>
      </c>
      <c r="E15" s="1">
        <f t="shared" si="3"/>
        <v>10.74</v>
      </c>
    </row>
    <row r="16" spans="1:7" x14ac:dyDescent="0.3">
      <c r="A16" s="1">
        <v>15</v>
      </c>
      <c r="B16" s="1">
        <f t="shared" si="0"/>
        <v>3.83</v>
      </c>
      <c r="C16" s="1">
        <f t="shared" si="1"/>
        <v>1.98</v>
      </c>
      <c r="D16" s="1">
        <f t="shared" si="2"/>
        <v>1.29</v>
      </c>
      <c r="E16" s="1">
        <f t="shared" si="3"/>
        <v>12.89</v>
      </c>
    </row>
    <row r="17" spans="1:5" x14ac:dyDescent="0.3">
      <c r="A17" s="1">
        <v>16</v>
      </c>
      <c r="B17" s="1">
        <f t="shared" si="0"/>
        <v>4.21</v>
      </c>
      <c r="C17" s="1">
        <f t="shared" si="1"/>
        <v>2.08</v>
      </c>
      <c r="D17" s="1">
        <f t="shared" si="2"/>
        <v>1.32</v>
      </c>
      <c r="E17" s="1">
        <f t="shared" si="3"/>
        <v>15.47</v>
      </c>
    </row>
    <row r="18" spans="1:5" x14ac:dyDescent="0.3">
      <c r="A18" s="1">
        <v>17</v>
      </c>
      <c r="B18" s="1">
        <f t="shared" si="0"/>
        <v>4.63</v>
      </c>
      <c r="C18" s="1">
        <f t="shared" si="1"/>
        <v>2.1800000000000002</v>
      </c>
      <c r="D18" s="1">
        <f t="shared" si="2"/>
        <v>1.35</v>
      </c>
      <c r="E18" s="1">
        <f t="shared" si="3"/>
        <v>18.559999999999999</v>
      </c>
    </row>
    <row r="19" spans="1:5" x14ac:dyDescent="0.3">
      <c r="A19" s="1">
        <v>18</v>
      </c>
      <c r="B19" s="1">
        <f t="shared" si="0"/>
        <v>5.09</v>
      </c>
      <c r="C19" s="1">
        <f t="shared" si="1"/>
        <v>2.29</v>
      </c>
      <c r="D19" s="1">
        <f t="shared" si="2"/>
        <v>1.38</v>
      </c>
      <c r="E19" s="1">
        <f t="shared" si="3"/>
        <v>22.27</v>
      </c>
    </row>
    <row r="20" spans="1:5" x14ac:dyDescent="0.3">
      <c r="A20" s="1">
        <v>19</v>
      </c>
      <c r="B20" s="1">
        <f t="shared" si="0"/>
        <v>5.6</v>
      </c>
      <c r="C20" s="1">
        <f t="shared" si="1"/>
        <v>2.4</v>
      </c>
      <c r="D20" s="1">
        <f t="shared" si="2"/>
        <v>1.41</v>
      </c>
      <c r="E20" s="1">
        <f t="shared" si="3"/>
        <v>26.72</v>
      </c>
    </row>
    <row r="21" spans="1:5" x14ac:dyDescent="0.3">
      <c r="A21" s="1">
        <v>20</v>
      </c>
      <c r="B21" s="1">
        <f t="shared" si="0"/>
        <v>6.16</v>
      </c>
      <c r="C21" s="1">
        <f t="shared" si="1"/>
        <v>2.52</v>
      </c>
      <c r="D21" s="1">
        <f t="shared" si="2"/>
        <v>1.44</v>
      </c>
      <c r="E21" s="1">
        <f t="shared" si="3"/>
        <v>32.06</v>
      </c>
    </row>
    <row r="22" spans="1:5" x14ac:dyDescent="0.3">
      <c r="A22" s="1">
        <v>21</v>
      </c>
      <c r="B22" s="1">
        <f t="shared" si="0"/>
        <v>6.78</v>
      </c>
      <c r="C22" s="1">
        <f t="shared" si="1"/>
        <v>2.65</v>
      </c>
      <c r="D22" s="1">
        <f t="shared" si="2"/>
        <v>1.47</v>
      </c>
      <c r="E22" s="1">
        <f t="shared" si="3"/>
        <v>38.47</v>
      </c>
    </row>
    <row r="23" spans="1:5" x14ac:dyDescent="0.3">
      <c r="A23" s="1">
        <v>22</v>
      </c>
      <c r="B23" s="1">
        <f t="shared" si="0"/>
        <v>7.46</v>
      </c>
      <c r="C23" s="1">
        <f t="shared" si="1"/>
        <v>2.78</v>
      </c>
      <c r="D23" s="1">
        <f t="shared" si="2"/>
        <v>1.5</v>
      </c>
      <c r="E23" s="1">
        <f t="shared" si="3"/>
        <v>46.16</v>
      </c>
    </row>
    <row r="24" spans="1:5" x14ac:dyDescent="0.3">
      <c r="A24" s="1">
        <v>23</v>
      </c>
      <c r="B24" s="1">
        <f t="shared" si="0"/>
        <v>8.2100000000000009</v>
      </c>
      <c r="C24" s="1">
        <f t="shared" si="1"/>
        <v>2.92</v>
      </c>
      <c r="D24" s="1">
        <f t="shared" si="2"/>
        <v>1.53</v>
      </c>
      <c r="E24" s="1">
        <f t="shared" si="3"/>
        <v>55.39</v>
      </c>
    </row>
    <row r="25" spans="1:5" x14ac:dyDescent="0.3">
      <c r="A25" s="1">
        <v>24</v>
      </c>
      <c r="B25" s="1">
        <f t="shared" si="0"/>
        <v>9.0299999999999994</v>
      </c>
      <c r="C25" s="1">
        <f t="shared" si="1"/>
        <v>3.07</v>
      </c>
      <c r="D25" s="1">
        <f t="shared" si="2"/>
        <v>1.56</v>
      </c>
      <c r="E25" s="1">
        <f t="shared" si="3"/>
        <v>66.47</v>
      </c>
    </row>
    <row r="26" spans="1:5" x14ac:dyDescent="0.3">
      <c r="A26" s="1">
        <v>25</v>
      </c>
      <c r="B26" s="1">
        <f t="shared" si="0"/>
        <v>9.93</v>
      </c>
      <c r="C26" s="1">
        <f t="shared" si="1"/>
        <v>3.22</v>
      </c>
      <c r="D26" s="1">
        <f t="shared" si="2"/>
        <v>1.59</v>
      </c>
      <c r="E26" s="1">
        <f t="shared" si="3"/>
        <v>79.760000000000005</v>
      </c>
    </row>
    <row r="27" spans="1:5" x14ac:dyDescent="0.3">
      <c r="A27" s="1">
        <v>26</v>
      </c>
      <c r="B27" s="1">
        <f t="shared" si="0"/>
        <v>10.92</v>
      </c>
      <c r="C27" s="1">
        <f t="shared" si="1"/>
        <v>3.38</v>
      </c>
      <c r="D27" s="1">
        <f t="shared" si="2"/>
        <v>1.62</v>
      </c>
      <c r="E27" s="1">
        <f t="shared" si="3"/>
        <v>95.71</v>
      </c>
    </row>
    <row r="28" spans="1:5" x14ac:dyDescent="0.3">
      <c r="A28" s="1">
        <v>27</v>
      </c>
      <c r="B28" s="1">
        <f t="shared" si="0"/>
        <v>12.01</v>
      </c>
      <c r="C28" s="1">
        <f t="shared" si="1"/>
        <v>3.55</v>
      </c>
      <c r="D28" s="1">
        <f t="shared" si="2"/>
        <v>1.65</v>
      </c>
      <c r="E28" s="1">
        <f t="shared" si="3"/>
        <v>114.85</v>
      </c>
    </row>
    <row r="29" spans="1:5" x14ac:dyDescent="0.3">
      <c r="A29" s="1">
        <v>28</v>
      </c>
      <c r="B29" s="1">
        <f t="shared" si="0"/>
        <v>13.21</v>
      </c>
      <c r="C29" s="1">
        <f t="shared" si="1"/>
        <v>3.73</v>
      </c>
      <c r="D29" s="1">
        <f t="shared" si="2"/>
        <v>1.68</v>
      </c>
      <c r="E29" s="1">
        <f t="shared" si="3"/>
        <v>137.82</v>
      </c>
    </row>
    <row r="30" spans="1:5" x14ac:dyDescent="0.3">
      <c r="A30" s="1">
        <v>29</v>
      </c>
      <c r="B30" s="1">
        <f t="shared" si="0"/>
        <v>14.53</v>
      </c>
      <c r="C30" s="1">
        <f t="shared" si="1"/>
        <v>3.92</v>
      </c>
      <c r="D30" s="1">
        <f t="shared" si="2"/>
        <v>1.71</v>
      </c>
      <c r="E30" s="1">
        <f t="shared" si="3"/>
        <v>165.38</v>
      </c>
    </row>
    <row r="31" spans="1:5" x14ac:dyDescent="0.3">
      <c r="A31" s="1">
        <v>30</v>
      </c>
      <c r="B31" s="1">
        <f t="shared" si="0"/>
        <v>15.98</v>
      </c>
      <c r="C31" s="1">
        <f>ROUND(C30 * $G$4,2)</f>
        <v>4.12</v>
      </c>
      <c r="D31" s="1">
        <f t="shared" si="2"/>
        <v>1.74</v>
      </c>
      <c r="E31" s="1">
        <f>ROUND(E30 * $G$8,2)</f>
        <v>198.46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44EC05-92F5-47AD-834C-2BAE3E05A5BF}">
  <dimension ref="A1:D15"/>
  <sheetViews>
    <sheetView workbookViewId="0">
      <selection activeCell="B34" sqref="B34"/>
    </sheetView>
  </sheetViews>
  <sheetFormatPr defaultRowHeight="16.5" x14ac:dyDescent="0.3"/>
  <cols>
    <col min="2" max="2" width="21.875" customWidth="1"/>
    <col min="3" max="3" width="19.25" customWidth="1"/>
    <col min="4" max="4" width="19.125" customWidth="1"/>
  </cols>
  <sheetData>
    <row r="1" spans="1:4" x14ac:dyDescent="0.3">
      <c r="A1" s="1" t="s">
        <v>29</v>
      </c>
      <c r="B1" s="1" t="s">
        <v>30</v>
      </c>
      <c r="C1" s="1" t="s">
        <v>35</v>
      </c>
      <c r="D1" s="1" t="s">
        <v>36</v>
      </c>
    </row>
    <row r="2" spans="1:4" x14ac:dyDescent="0.3">
      <c r="A2" s="1">
        <v>1000</v>
      </c>
      <c r="B2" s="1" t="s">
        <v>41</v>
      </c>
      <c r="C2" s="1">
        <v>5</v>
      </c>
      <c r="D2" s="1">
        <v>7</v>
      </c>
    </row>
    <row r="3" spans="1:4" x14ac:dyDescent="0.3">
      <c r="A3" s="1">
        <v>1001</v>
      </c>
      <c r="B3" s="1" t="s">
        <v>41</v>
      </c>
      <c r="C3" s="1">
        <v>8</v>
      </c>
      <c r="D3" s="1">
        <v>10</v>
      </c>
    </row>
    <row r="4" spans="1:4" x14ac:dyDescent="0.3">
      <c r="A4" s="1">
        <v>1002</v>
      </c>
      <c r="B4" s="1" t="s">
        <v>41</v>
      </c>
      <c r="C4" s="1">
        <v>10</v>
      </c>
      <c r="D4" s="1">
        <v>12</v>
      </c>
    </row>
    <row r="5" spans="1:4" x14ac:dyDescent="0.3">
      <c r="A5" s="1">
        <v>1003</v>
      </c>
      <c r="B5" s="1" t="s">
        <v>42</v>
      </c>
      <c r="C5" s="1">
        <v>2</v>
      </c>
      <c r="D5" s="1">
        <v>5</v>
      </c>
    </row>
    <row r="6" spans="1:4" x14ac:dyDescent="0.3">
      <c r="A6" s="1">
        <v>1004</v>
      </c>
      <c r="B6" s="1" t="s">
        <v>42</v>
      </c>
      <c r="C6" s="1">
        <v>5</v>
      </c>
      <c r="D6" s="1">
        <v>10</v>
      </c>
    </row>
    <row r="7" spans="1:4" x14ac:dyDescent="0.3">
      <c r="A7" s="1">
        <v>1005</v>
      </c>
      <c r="B7" s="1" t="s">
        <v>42</v>
      </c>
      <c r="C7" s="1">
        <v>8</v>
      </c>
      <c r="D7" s="1">
        <v>15</v>
      </c>
    </row>
    <row r="8" spans="1:4" x14ac:dyDescent="0.3">
      <c r="A8" s="1">
        <v>1006</v>
      </c>
      <c r="B8" s="1" t="s">
        <v>37</v>
      </c>
      <c r="C8" s="1">
        <v>5</v>
      </c>
      <c r="D8" s="1">
        <v>7</v>
      </c>
    </row>
    <row r="9" spans="1:4" x14ac:dyDescent="0.3">
      <c r="A9" s="1"/>
      <c r="B9" s="1"/>
      <c r="C9" s="1"/>
      <c r="D9" s="1"/>
    </row>
    <row r="10" spans="1:4" x14ac:dyDescent="0.3">
      <c r="A10" s="1"/>
      <c r="B10" s="1"/>
      <c r="C10" s="1"/>
      <c r="D10" s="1"/>
    </row>
    <row r="11" spans="1:4" x14ac:dyDescent="0.3">
      <c r="A11" s="1"/>
      <c r="B11" s="1"/>
      <c r="C11" s="1"/>
      <c r="D11" s="1"/>
    </row>
    <row r="12" spans="1:4" x14ac:dyDescent="0.3">
      <c r="A12" s="1"/>
      <c r="B12" s="1"/>
      <c r="C12" s="1"/>
      <c r="D12" s="1"/>
    </row>
    <row r="13" spans="1:4" x14ac:dyDescent="0.3">
      <c r="A13" s="1"/>
      <c r="B13" s="1"/>
      <c r="C13" s="1"/>
      <c r="D13" s="1"/>
    </row>
    <row r="14" spans="1:4" x14ac:dyDescent="0.3">
      <c r="A14" s="1"/>
      <c r="B14" s="1"/>
      <c r="C14" s="1"/>
      <c r="D14" s="1"/>
    </row>
    <row r="15" spans="1:4" x14ac:dyDescent="0.3">
      <c r="A15" s="1"/>
      <c r="B15" s="1"/>
      <c r="C15" s="1"/>
      <c r="D15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MonsterData</vt:lpstr>
      <vt:lpstr>MonsterLevelByStat</vt:lpstr>
      <vt:lpstr>MapMonsterConfig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</dc:creator>
  <cp:lastModifiedBy>이형규</cp:lastModifiedBy>
  <dcterms:created xsi:type="dcterms:W3CDTF">2015-06-05T18:19:34Z</dcterms:created>
  <dcterms:modified xsi:type="dcterms:W3CDTF">2026-03-28T16:26:27Z</dcterms:modified>
</cp:coreProperties>
</file>