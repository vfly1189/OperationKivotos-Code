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\Documents\GitHub\OperationKivotos\Assets\ExcelData\"/>
    </mc:Choice>
  </mc:AlternateContent>
  <xr:revisionPtr revIDLastSave="0" documentId="13_ncr:1_{A65267EF-DD62-49FC-8981-AFB6C8B84447}" xr6:coauthVersionLast="47" xr6:coauthVersionMax="47" xr10:uidLastSave="{00000000-0000-0000-0000-000000000000}"/>
  <bookViews>
    <workbookView xWindow="33690" yWindow="3300" windowWidth="21600" windowHeight="11385" firstSheet="1" activeTab="2" xr2:uid="{00000000-000D-0000-FFFF-FFFF00000000}"/>
  </bookViews>
  <sheets>
    <sheet name="Character_Stat_Table" sheetId="1" r:id="rId1"/>
    <sheet name="Common_Level_Exp_Table" sheetId="2" r:id="rId2"/>
    <sheet name="Weapon_Stat_Table" sheetId="3" r:id="rId3"/>
    <sheet name="Weapon_Growth_Table" sheetId="4" r:id="rId4"/>
    <sheet name="Weapon_Enhance_Cost_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3" i="4"/>
  <c r="B31" i="2"/>
  <c r="B4" i="2"/>
  <c r="B5" i="2"/>
  <c r="B6" i="2"/>
  <c r="B7" i="2"/>
  <c r="B8" i="2"/>
  <c r="B9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2"/>
</calcChain>
</file>

<file path=xl/sharedStrings.xml><?xml version="1.0" encoding="utf-8"?>
<sst xmlns="http://schemas.openxmlformats.org/spreadsheetml/2006/main" count="102" uniqueCount="94">
  <si>
    <t>Name_KR</t>
    <phoneticPr fontId="1" type="noConversion"/>
  </si>
  <si>
    <t>Base_HP</t>
    <phoneticPr fontId="1" type="noConversion"/>
  </si>
  <si>
    <t>Base_ATK</t>
    <phoneticPr fontId="1" type="noConversion"/>
  </si>
  <si>
    <t>Base_DEF</t>
    <phoneticPr fontId="1" type="noConversion"/>
  </si>
  <si>
    <t>Growth_HP</t>
    <phoneticPr fontId="1" type="noConversion"/>
  </si>
  <si>
    <t>Growth_ATK</t>
    <phoneticPr fontId="1" type="noConversion"/>
  </si>
  <si>
    <t>Growth_DEF</t>
    <phoneticPr fontId="1" type="noConversion"/>
  </si>
  <si>
    <t>Base_CritRate</t>
    <phoneticPr fontId="1" type="noConversion"/>
  </si>
  <si>
    <t>Base_CritDMG</t>
    <phoneticPr fontId="1" type="noConversion"/>
  </si>
  <si>
    <t>Base_EnergyRecharge</t>
    <phoneticPr fontId="1" type="noConversion"/>
  </si>
  <si>
    <t>Base_MoveSpeed</t>
    <phoneticPr fontId="1" type="noConversion"/>
  </si>
  <si>
    <t>Max_Energy</t>
    <phoneticPr fontId="1" type="noConversion"/>
  </si>
  <si>
    <t>char_Hoshino</t>
    <phoneticPr fontId="1" type="noConversion"/>
  </si>
  <si>
    <t>호시노</t>
    <phoneticPr fontId="1" type="noConversion"/>
  </si>
  <si>
    <t>char_Shiroko</t>
    <phoneticPr fontId="1" type="noConversion"/>
  </si>
  <si>
    <t>char_Nonomi</t>
    <phoneticPr fontId="1" type="noConversion"/>
  </si>
  <si>
    <t>char_Serika</t>
    <phoneticPr fontId="1" type="noConversion"/>
  </si>
  <si>
    <t>시로코</t>
    <phoneticPr fontId="1" type="noConversion"/>
  </si>
  <si>
    <t>노노미</t>
    <phoneticPr fontId="1" type="noConversion"/>
  </si>
  <si>
    <t>세리카</t>
    <phoneticPr fontId="1" type="noConversion"/>
  </si>
  <si>
    <t>char_Hina</t>
    <phoneticPr fontId="1" type="noConversion"/>
  </si>
  <si>
    <t>char_Ako</t>
    <phoneticPr fontId="1" type="noConversion"/>
  </si>
  <si>
    <t>char_Aru</t>
    <phoneticPr fontId="1" type="noConversion"/>
  </si>
  <si>
    <t>char_Iori</t>
    <phoneticPr fontId="1" type="noConversion"/>
  </si>
  <si>
    <t>char_Aris</t>
    <phoneticPr fontId="1" type="noConversion"/>
  </si>
  <si>
    <t>char_Asuna</t>
    <phoneticPr fontId="1" type="noConversion"/>
  </si>
  <si>
    <t>char_Karin</t>
    <phoneticPr fontId="1" type="noConversion"/>
  </si>
  <si>
    <t>char_Toki</t>
    <phoneticPr fontId="1" type="noConversion"/>
  </si>
  <si>
    <t>토키</t>
    <phoneticPr fontId="1" type="noConversion"/>
  </si>
  <si>
    <t>카린</t>
    <phoneticPr fontId="1" type="noConversion"/>
  </si>
  <si>
    <t>아스나</t>
    <phoneticPr fontId="1" type="noConversion"/>
  </si>
  <si>
    <t>아리스</t>
    <phoneticPr fontId="1" type="noConversion"/>
  </si>
  <si>
    <t>이오리</t>
    <phoneticPr fontId="1" type="noConversion"/>
  </si>
  <si>
    <t>아루</t>
    <phoneticPr fontId="1" type="noConversion"/>
  </si>
  <si>
    <t>아코</t>
    <phoneticPr fontId="1" type="noConversion"/>
  </si>
  <si>
    <t>히나</t>
    <phoneticPr fontId="1" type="noConversion"/>
  </si>
  <si>
    <t>Level</t>
    <phoneticPr fontId="1" type="noConversion"/>
  </si>
  <si>
    <t>Require_Exp</t>
    <phoneticPr fontId="1" type="noConversion"/>
  </si>
  <si>
    <t>증가율</t>
    <phoneticPr fontId="1" type="noConversion"/>
  </si>
  <si>
    <t>string_ID</t>
    <phoneticPr fontId="1" type="noConversion"/>
  </si>
  <si>
    <t>int_ID</t>
    <phoneticPr fontId="1" type="noConversion"/>
  </si>
  <si>
    <t>Base_CritDmg</t>
    <phoneticPr fontId="1" type="noConversion"/>
  </si>
  <si>
    <t>Target_Level</t>
    <phoneticPr fontId="1" type="noConversion"/>
  </si>
  <si>
    <t>Require_Gold</t>
    <phoneticPr fontId="1" type="noConversion"/>
  </si>
  <si>
    <t>Material_1_ID</t>
    <phoneticPr fontId="1" type="noConversion"/>
  </si>
  <si>
    <t>Material_1_Count</t>
    <phoneticPr fontId="1" type="noConversion"/>
  </si>
  <si>
    <t>Material_2_ID</t>
    <phoneticPr fontId="1" type="noConversion"/>
  </si>
  <si>
    <t>Material_2_Count</t>
    <phoneticPr fontId="1" type="noConversion"/>
  </si>
  <si>
    <t>Material_3_ID</t>
    <phoneticPr fontId="1" type="noConversion"/>
  </si>
  <si>
    <t>Material_3_Count</t>
    <phoneticPr fontId="1" type="noConversion"/>
  </si>
  <si>
    <t>Growth_CritRate</t>
    <phoneticPr fontId="1" type="noConversion"/>
  </si>
  <si>
    <t>Growth_CritDmg</t>
    <phoneticPr fontId="1" type="noConversion"/>
  </si>
  <si>
    <t>Owner_Char_ID</t>
    <phoneticPr fontId="1" type="noConversion"/>
  </si>
  <si>
    <t>wpn_Hoshino</t>
    <phoneticPr fontId="1" type="noConversion"/>
  </si>
  <si>
    <t>wpn_Shiroko</t>
    <phoneticPr fontId="1" type="noConversion"/>
  </si>
  <si>
    <t>wpn_Nonomi</t>
  </si>
  <si>
    <t>wpn_Serika</t>
  </si>
  <si>
    <t>wpn_Hina</t>
  </si>
  <si>
    <t>wpn_Ako</t>
  </si>
  <si>
    <t>wpn_Aru</t>
  </si>
  <si>
    <t>wpn_Iori</t>
  </si>
  <si>
    <t>wpn_Aris</t>
  </si>
  <si>
    <t>wpn_Asuna</t>
  </si>
  <si>
    <t>wpn_Karin</t>
  </si>
  <si>
    <t>wpn_Toki</t>
  </si>
  <si>
    <t>호루스의 눈</t>
    <phoneticPr fontId="1" type="noConversion"/>
  </si>
  <si>
    <t>WHITE FANG 465</t>
    <phoneticPr fontId="1" type="noConversion"/>
  </si>
  <si>
    <t>WPN_Name</t>
    <phoneticPr fontId="1" type="noConversion"/>
  </si>
  <si>
    <t>미니 No.5</t>
    <phoneticPr fontId="1" type="noConversion"/>
  </si>
  <si>
    <t>신시어리티</t>
    <phoneticPr fontId="1" type="noConversion"/>
  </si>
  <si>
    <t>종막의 디스트로이어</t>
    <phoneticPr fontId="1" type="noConversion"/>
  </si>
  <si>
    <t>핫 샷</t>
    <phoneticPr fontId="1" type="noConversion"/>
  </si>
  <si>
    <t>크랙 샷</t>
    <phoneticPr fontId="1" type="noConversion"/>
  </si>
  <si>
    <t xml:space="preserve">빛의 검: 슈퍼노바 </t>
    <phoneticPr fontId="1" type="noConversion"/>
  </si>
  <si>
    <t>서프라이즈 파티</t>
    <phoneticPr fontId="1" type="noConversion"/>
  </si>
  <si>
    <t>빅 아이</t>
    <phoneticPr fontId="1" type="noConversion"/>
  </si>
  <si>
    <t>성장치 = (레벨 - 1) × 기본증가량 + ROUND((레벨 - 1)^2 × 가속계수, 0)</t>
  </si>
  <si>
    <t>가속계수</t>
    <phoneticPr fontId="1" type="noConversion"/>
  </si>
  <si>
    <t>치명타확률 공식</t>
    <phoneticPr fontId="1" type="noConversion"/>
  </si>
  <si>
    <t>공식 구조: (레벨-1) * (기본증가량) + (레벨-1)^2 * ($F$2 * 가속배율)</t>
    <phoneticPr fontId="1" type="noConversion"/>
  </si>
  <si>
    <t>치명타피해 공식</t>
    <phoneticPr fontId="1" type="noConversion"/>
  </si>
  <si>
    <t>공식 구조: (레벨-1) * (기본증가량) + (레벨-1)^2 * ($F$2 * 가속배율 * 2)</t>
    <phoneticPr fontId="1" type="noConversion"/>
  </si>
  <si>
    <t>BaseGold</t>
    <phoneticPr fontId="1" type="noConversion"/>
  </si>
  <si>
    <t>GoldRate</t>
    <phoneticPr fontId="1" type="noConversion"/>
  </si>
  <si>
    <t>BaseMat1</t>
    <phoneticPr fontId="1" type="noConversion"/>
  </si>
  <si>
    <t>Mat1Rate</t>
    <phoneticPr fontId="1" type="noConversion"/>
  </si>
  <si>
    <t>Mat2StartLevel</t>
    <phoneticPr fontId="1" type="noConversion"/>
  </si>
  <si>
    <t>BaseMat2</t>
    <phoneticPr fontId="1" type="noConversion"/>
  </si>
  <si>
    <t>Mat2Rate</t>
    <phoneticPr fontId="1" type="noConversion"/>
  </si>
  <si>
    <t>Mat3StartLevel</t>
    <phoneticPr fontId="1" type="noConversion"/>
  </si>
  <si>
    <t>BaseMat3</t>
    <phoneticPr fontId="1" type="noConversion"/>
  </si>
  <si>
    <t>Mat3Rate</t>
    <phoneticPr fontId="1" type="noConversion"/>
  </si>
  <si>
    <t>와인레드&amp;어드마이어</t>
    <phoneticPr fontId="1" type="noConversion"/>
  </si>
  <si>
    <t>암기어 건틀릿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</si>
</sst>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K15" sqref="K15"/>
    </sheetView>
  </sheetViews>
  <sheetFormatPr defaultRowHeight="16.5" x14ac:dyDescent="0.3"/>
  <cols>
    <col min="2" max="2" width="12.375" customWidth="1"/>
    <col min="3" max="3" width="10.875" customWidth="1"/>
    <col min="4" max="4" width="8.875" customWidth="1"/>
    <col min="5" max="5" width="10.625" customWidth="1"/>
    <col min="6" max="6" width="10.375" customWidth="1"/>
    <col min="7" max="7" width="11.5" customWidth="1"/>
    <col min="8" max="9" width="12" customWidth="1"/>
    <col min="10" max="10" width="13.25" customWidth="1"/>
    <col min="11" max="11" width="14.5" customWidth="1"/>
    <col min="12" max="12" width="20" customWidth="1"/>
    <col min="13" max="13" width="16.625" customWidth="1"/>
    <col min="14" max="14" width="11.625" customWidth="1"/>
  </cols>
  <sheetData>
    <row r="1" spans="1:14" x14ac:dyDescent="0.3">
      <c r="A1" s="1" t="s">
        <v>40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1">
        <v>1000</v>
      </c>
      <c r="B2" s="1" t="s">
        <v>12</v>
      </c>
      <c r="C2" s="1" t="s">
        <v>13</v>
      </c>
      <c r="D2" s="1">
        <v>3500</v>
      </c>
      <c r="E2" s="1">
        <v>80</v>
      </c>
      <c r="F2" s="1">
        <v>150</v>
      </c>
      <c r="G2" s="1">
        <v>250</v>
      </c>
      <c r="H2" s="1">
        <v>8</v>
      </c>
      <c r="I2" s="1">
        <v>15</v>
      </c>
      <c r="J2" s="1">
        <v>0.05</v>
      </c>
      <c r="K2" s="1">
        <v>1.5</v>
      </c>
      <c r="L2" s="1">
        <v>1</v>
      </c>
      <c r="M2" s="1">
        <v>4.5</v>
      </c>
      <c r="N2" s="1">
        <v>100</v>
      </c>
    </row>
    <row r="3" spans="1:14" x14ac:dyDescent="0.3">
      <c r="A3" s="1">
        <v>1001</v>
      </c>
      <c r="B3" s="1" t="s">
        <v>14</v>
      </c>
      <c r="C3" s="1" t="s">
        <v>17</v>
      </c>
      <c r="D3" s="1">
        <v>3500</v>
      </c>
      <c r="E3" s="1">
        <v>80</v>
      </c>
      <c r="F3" s="1">
        <v>150</v>
      </c>
      <c r="G3" s="1">
        <v>250</v>
      </c>
      <c r="H3" s="1">
        <v>8</v>
      </c>
      <c r="I3" s="1">
        <v>15</v>
      </c>
      <c r="J3" s="1">
        <v>0.05</v>
      </c>
      <c r="K3" s="1">
        <v>1.5</v>
      </c>
      <c r="L3" s="1">
        <v>1</v>
      </c>
      <c r="M3" s="1">
        <v>4.5</v>
      </c>
      <c r="N3" s="1">
        <v>100</v>
      </c>
    </row>
    <row r="4" spans="1:14" x14ac:dyDescent="0.3">
      <c r="A4" s="1">
        <v>1002</v>
      </c>
      <c r="B4" s="1" t="s">
        <v>15</v>
      </c>
      <c r="C4" s="1" t="s">
        <v>18</v>
      </c>
      <c r="D4" s="1">
        <v>3500</v>
      </c>
      <c r="E4" s="1">
        <v>80</v>
      </c>
      <c r="F4" s="1">
        <v>150</v>
      </c>
      <c r="G4" s="1">
        <v>250</v>
      </c>
      <c r="H4" s="1">
        <v>8</v>
      </c>
      <c r="I4" s="1">
        <v>15</v>
      </c>
      <c r="J4" s="1">
        <v>0.05</v>
      </c>
      <c r="K4" s="1">
        <v>1.5</v>
      </c>
      <c r="L4" s="1">
        <v>1</v>
      </c>
      <c r="M4" s="1">
        <v>4.5</v>
      </c>
      <c r="N4" s="1">
        <v>100</v>
      </c>
    </row>
    <row r="5" spans="1:14" x14ac:dyDescent="0.3">
      <c r="A5" s="1">
        <v>1003</v>
      </c>
      <c r="B5" s="1" t="s">
        <v>16</v>
      </c>
      <c r="C5" s="1" t="s">
        <v>19</v>
      </c>
      <c r="D5" s="1">
        <v>3500</v>
      </c>
      <c r="E5" s="1">
        <v>80</v>
      </c>
      <c r="F5" s="1">
        <v>150</v>
      </c>
      <c r="G5" s="1">
        <v>250</v>
      </c>
      <c r="H5" s="1">
        <v>8</v>
      </c>
      <c r="I5" s="1">
        <v>15</v>
      </c>
      <c r="J5" s="1">
        <v>0.05</v>
      </c>
      <c r="K5" s="1">
        <v>1.5</v>
      </c>
      <c r="L5" s="1">
        <v>1</v>
      </c>
      <c r="M5" s="1">
        <v>4.5</v>
      </c>
      <c r="N5" s="1">
        <v>100</v>
      </c>
    </row>
    <row r="6" spans="1:14" x14ac:dyDescent="0.3">
      <c r="A6" s="1">
        <v>1004</v>
      </c>
      <c r="B6" s="1" t="s">
        <v>20</v>
      </c>
      <c r="C6" s="1" t="s">
        <v>35</v>
      </c>
      <c r="D6" s="1">
        <v>3500</v>
      </c>
      <c r="E6" s="1">
        <v>80</v>
      </c>
      <c r="F6" s="1">
        <v>150</v>
      </c>
      <c r="G6" s="1">
        <v>250</v>
      </c>
      <c r="H6" s="1">
        <v>8</v>
      </c>
      <c r="I6" s="1">
        <v>15</v>
      </c>
      <c r="J6" s="1">
        <v>0.05</v>
      </c>
      <c r="K6" s="1">
        <v>1.5</v>
      </c>
      <c r="L6" s="1">
        <v>1</v>
      </c>
      <c r="M6" s="1">
        <v>4.5</v>
      </c>
      <c r="N6" s="1">
        <v>100</v>
      </c>
    </row>
    <row r="7" spans="1:14" x14ac:dyDescent="0.3">
      <c r="A7" s="1">
        <v>1005</v>
      </c>
      <c r="B7" s="1" t="s">
        <v>21</v>
      </c>
      <c r="C7" s="1" t="s">
        <v>34</v>
      </c>
      <c r="D7" s="1">
        <v>3500</v>
      </c>
      <c r="E7" s="1">
        <v>80</v>
      </c>
      <c r="F7" s="1">
        <v>150</v>
      </c>
      <c r="G7" s="1">
        <v>250</v>
      </c>
      <c r="H7" s="1">
        <v>8</v>
      </c>
      <c r="I7" s="1">
        <v>15</v>
      </c>
      <c r="J7" s="1">
        <v>0.05</v>
      </c>
      <c r="K7" s="1">
        <v>1.5</v>
      </c>
      <c r="L7" s="1">
        <v>1</v>
      </c>
      <c r="M7" s="1">
        <v>4.5</v>
      </c>
      <c r="N7" s="1">
        <v>100</v>
      </c>
    </row>
    <row r="8" spans="1:14" x14ac:dyDescent="0.3">
      <c r="A8" s="1">
        <v>1006</v>
      </c>
      <c r="B8" s="1" t="s">
        <v>22</v>
      </c>
      <c r="C8" s="1" t="s">
        <v>33</v>
      </c>
      <c r="D8" s="1">
        <v>3500</v>
      </c>
      <c r="E8" s="1">
        <v>80</v>
      </c>
      <c r="F8" s="1">
        <v>150</v>
      </c>
      <c r="G8" s="1">
        <v>250</v>
      </c>
      <c r="H8" s="1">
        <v>8</v>
      </c>
      <c r="I8" s="1">
        <v>15</v>
      </c>
      <c r="J8" s="1">
        <v>0.05</v>
      </c>
      <c r="K8" s="1">
        <v>1.5</v>
      </c>
      <c r="L8" s="1">
        <v>1</v>
      </c>
      <c r="M8" s="1">
        <v>4.5</v>
      </c>
      <c r="N8" s="1">
        <v>100</v>
      </c>
    </row>
    <row r="9" spans="1:14" x14ac:dyDescent="0.3">
      <c r="A9" s="1">
        <v>1007</v>
      </c>
      <c r="B9" s="1" t="s">
        <v>23</v>
      </c>
      <c r="C9" s="1" t="s">
        <v>32</v>
      </c>
      <c r="D9" s="1">
        <v>3500</v>
      </c>
      <c r="E9" s="1">
        <v>80</v>
      </c>
      <c r="F9" s="1">
        <v>150</v>
      </c>
      <c r="G9" s="1">
        <v>250</v>
      </c>
      <c r="H9" s="1">
        <v>8</v>
      </c>
      <c r="I9" s="1">
        <v>15</v>
      </c>
      <c r="J9" s="1">
        <v>0.05</v>
      </c>
      <c r="K9" s="1">
        <v>1.5</v>
      </c>
      <c r="L9" s="1">
        <v>1</v>
      </c>
      <c r="M9" s="1">
        <v>4.5</v>
      </c>
      <c r="N9" s="1">
        <v>100</v>
      </c>
    </row>
    <row r="10" spans="1:14" x14ac:dyDescent="0.3">
      <c r="A10" s="1">
        <v>1008</v>
      </c>
      <c r="B10" s="1" t="s">
        <v>24</v>
      </c>
      <c r="C10" s="1" t="s">
        <v>31</v>
      </c>
      <c r="D10" s="1">
        <v>3500</v>
      </c>
      <c r="E10" s="1">
        <v>80</v>
      </c>
      <c r="F10" s="1">
        <v>150</v>
      </c>
      <c r="G10" s="1">
        <v>250</v>
      </c>
      <c r="H10" s="1">
        <v>8</v>
      </c>
      <c r="I10" s="1">
        <v>15</v>
      </c>
      <c r="J10" s="1">
        <v>0.05</v>
      </c>
      <c r="K10" s="1">
        <v>1.5</v>
      </c>
      <c r="L10" s="1">
        <v>1</v>
      </c>
      <c r="M10" s="1">
        <v>4.5</v>
      </c>
      <c r="N10" s="1">
        <v>100</v>
      </c>
    </row>
    <row r="11" spans="1:14" x14ac:dyDescent="0.3">
      <c r="A11" s="1">
        <v>1009</v>
      </c>
      <c r="B11" s="1" t="s">
        <v>25</v>
      </c>
      <c r="C11" s="1" t="s">
        <v>30</v>
      </c>
      <c r="D11" s="1">
        <v>3500</v>
      </c>
      <c r="E11" s="1">
        <v>80</v>
      </c>
      <c r="F11" s="1">
        <v>150</v>
      </c>
      <c r="G11" s="1">
        <v>250</v>
      </c>
      <c r="H11" s="1">
        <v>8</v>
      </c>
      <c r="I11" s="1">
        <v>15</v>
      </c>
      <c r="J11" s="1">
        <v>0.05</v>
      </c>
      <c r="K11" s="1">
        <v>1.5</v>
      </c>
      <c r="L11" s="1">
        <v>1</v>
      </c>
      <c r="M11" s="1">
        <v>4.5</v>
      </c>
      <c r="N11" s="1">
        <v>100</v>
      </c>
    </row>
    <row r="12" spans="1:14" x14ac:dyDescent="0.3">
      <c r="A12" s="1">
        <v>1010</v>
      </c>
      <c r="B12" s="1" t="s">
        <v>26</v>
      </c>
      <c r="C12" s="1" t="s">
        <v>29</v>
      </c>
      <c r="D12" s="1">
        <v>3500</v>
      </c>
      <c r="E12" s="1">
        <v>80</v>
      </c>
      <c r="F12" s="1">
        <v>150</v>
      </c>
      <c r="G12" s="1">
        <v>250</v>
      </c>
      <c r="H12" s="1">
        <v>8</v>
      </c>
      <c r="I12" s="1">
        <v>15</v>
      </c>
      <c r="J12" s="1">
        <v>0.05</v>
      </c>
      <c r="K12" s="1">
        <v>1.5</v>
      </c>
      <c r="L12" s="1">
        <v>1</v>
      </c>
      <c r="M12" s="1">
        <v>4.5</v>
      </c>
      <c r="N12" s="1">
        <v>100</v>
      </c>
    </row>
    <row r="13" spans="1:14" x14ac:dyDescent="0.3">
      <c r="A13" s="1">
        <v>1011</v>
      </c>
      <c r="B13" s="1" t="s">
        <v>27</v>
      </c>
      <c r="C13" s="1" t="s">
        <v>28</v>
      </c>
      <c r="D13" s="1">
        <v>3500</v>
      </c>
      <c r="E13" s="1">
        <v>80</v>
      </c>
      <c r="F13" s="1">
        <v>150</v>
      </c>
      <c r="G13" s="1">
        <v>250</v>
      </c>
      <c r="H13" s="1">
        <v>8</v>
      </c>
      <c r="I13" s="1">
        <v>15</v>
      </c>
      <c r="J13" s="1">
        <v>0.05</v>
      </c>
      <c r="K13" s="1">
        <v>1.5</v>
      </c>
      <c r="L13" s="1">
        <v>1</v>
      </c>
      <c r="M13" s="1">
        <v>4.5</v>
      </c>
      <c r="N13" s="1">
        <v>100</v>
      </c>
    </row>
    <row r="14" spans="1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E16A-E22B-4738-835A-E0C9174CCA36}">
  <dimension ref="A1:E31"/>
  <sheetViews>
    <sheetView workbookViewId="0">
      <selection activeCell="F5" sqref="F5"/>
    </sheetView>
  </sheetViews>
  <sheetFormatPr defaultRowHeight="16.5" x14ac:dyDescent="0.3"/>
  <cols>
    <col min="2" max="2" width="17.875" customWidth="1"/>
  </cols>
  <sheetData>
    <row r="1" spans="1:5" x14ac:dyDescent="0.3">
      <c r="A1" s="1" t="s">
        <v>36</v>
      </c>
      <c r="B1" s="1" t="s">
        <v>37</v>
      </c>
      <c r="E1" t="s">
        <v>38</v>
      </c>
    </row>
    <row r="2" spans="1:5" x14ac:dyDescent="0.3">
      <c r="A2" s="1">
        <v>1</v>
      </c>
      <c r="B2" s="1">
        <v>100</v>
      </c>
      <c r="E2">
        <v>1.2</v>
      </c>
    </row>
    <row r="3" spans="1:5" x14ac:dyDescent="0.3">
      <c r="A3" s="1">
        <v>2</v>
      </c>
      <c r="B3" s="2">
        <f>ROUND(B2 * $E$2, 0)</f>
        <v>120</v>
      </c>
    </row>
    <row r="4" spans="1:5" x14ac:dyDescent="0.3">
      <c r="A4" s="1">
        <v>3</v>
      </c>
      <c r="B4" s="2">
        <f t="shared" ref="B4:B31" si="0">ROUND(B3 * $E$2, 0)</f>
        <v>144</v>
      </c>
    </row>
    <row r="5" spans="1:5" x14ac:dyDescent="0.3">
      <c r="A5" s="1">
        <v>4</v>
      </c>
      <c r="B5" s="2">
        <f t="shared" si="0"/>
        <v>173</v>
      </c>
    </row>
    <row r="6" spans="1:5" x14ac:dyDescent="0.3">
      <c r="A6" s="1">
        <v>5</v>
      </c>
      <c r="B6" s="2">
        <f t="shared" si="0"/>
        <v>208</v>
      </c>
    </row>
    <row r="7" spans="1:5" x14ac:dyDescent="0.3">
      <c r="A7" s="1">
        <v>6</v>
      </c>
      <c r="B7" s="2">
        <f t="shared" si="0"/>
        <v>250</v>
      </c>
    </row>
    <row r="8" spans="1:5" x14ac:dyDescent="0.3">
      <c r="A8" s="1">
        <v>7</v>
      </c>
      <c r="B8" s="2">
        <f t="shared" si="0"/>
        <v>300</v>
      </c>
    </row>
    <row r="9" spans="1:5" x14ac:dyDescent="0.3">
      <c r="A9" s="1">
        <v>8</v>
      </c>
      <c r="B9" s="2">
        <f t="shared" si="0"/>
        <v>360</v>
      </c>
    </row>
    <row r="10" spans="1:5" x14ac:dyDescent="0.3">
      <c r="A10" s="1">
        <v>9</v>
      </c>
      <c r="B10" s="2">
        <f t="shared" si="0"/>
        <v>432</v>
      </c>
    </row>
    <row r="11" spans="1:5" x14ac:dyDescent="0.3">
      <c r="A11" s="1">
        <v>10</v>
      </c>
      <c r="B11" s="2">
        <f t="shared" si="0"/>
        <v>518</v>
      </c>
    </row>
    <row r="12" spans="1:5" x14ac:dyDescent="0.3">
      <c r="A12" s="1">
        <v>11</v>
      </c>
      <c r="B12" s="2">
        <f t="shared" si="0"/>
        <v>622</v>
      </c>
    </row>
    <row r="13" spans="1:5" x14ac:dyDescent="0.3">
      <c r="A13" s="1">
        <v>12</v>
      </c>
      <c r="B13" s="2">
        <f t="shared" si="0"/>
        <v>746</v>
      </c>
    </row>
    <row r="14" spans="1:5" x14ac:dyDescent="0.3">
      <c r="A14" s="1">
        <v>13</v>
      </c>
      <c r="B14" s="2">
        <f t="shared" si="0"/>
        <v>895</v>
      </c>
    </row>
    <row r="15" spans="1:5" x14ac:dyDescent="0.3">
      <c r="A15" s="1">
        <v>14</v>
      </c>
      <c r="B15" s="2">
        <f t="shared" si="0"/>
        <v>1074</v>
      </c>
    </row>
    <row r="16" spans="1:5" x14ac:dyDescent="0.3">
      <c r="A16" s="1">
        <v>15</v>
      </c>
      <c r="B16" s="2">
        <f t="shared" si="0"/>
        <v>1289</v>
      </c>
    </row>
    <row r="17" spans="1:2" x14ac:dyDescent="0.3">
      <c r="A17" s="1">
        <v>16</v>
      </c>
      <c r="B17" s="2">
        <f t="shared" si="0"/>
        <v>1547</v>
      </c>
    </row>
    <row r="18" spans="1:2" x14ac:dyDescent="0.3">
      <c r="A18" s="1">
        <v>17</v>
      </c>
      <c r="B18" s="2">
        <f t="shared" si="0"/>
        <v>1856</v>
      </c>
    </row>
    <row r="19" spans="1:2" x14ac:dyDescent="0.3">
      <c r="A19" s="1">
        <v>18</v>
      </c>
      <c r="B19" s="2">
        <f t="shared" si="0"/>
        <v>2227</v>
      </c>
    </row>
    <row r="20" spans="1:2" x14ac:dyDescent="0.3">
      <c r="A20" s="1">
        <v>19</v>
      </c>
      <c r="B20" s="2">
        <f t="shared" si="0"/>
        <v>2672</v>
      </c>
    </row>
    <row r="21" spans="1:2" x14ac:dyDescent="0.3">
      <c r="A21" s="1">
        <v>20</v>
      </c>
      <c r="B21" s="2">
        <f t="shared" si="0"/>
        <v>3206</v>
      </c>
    </row>
    <row r="22" spans="1:2" x14ac:dyDescent="0.3">
      <c r="A22" s="1">
        <v>21</v>
      </c>
      <c r="B22" s="2">
        <f t="shared" si="0"/>
        <v>3847</v>
      </c>
    </row>
    <row r="23" spans="1:2" x14ac:dyDescent="0.3">
      <c r="A23" s="1">
        <v>22</v>
      </c>
      <c r="B23" s="2">
        <f t="shared" si="0"/>
        <v>4616</v>
      </c>
    </row>
    <row r="24" spans="1:2" x14ac:dyDescent="0.3">
      <c r="A24" s="1">
        <v>23</v>
      </c>
      <c r="B24" s="2">
        <f t="shared" si="0"/>
        <v>5539</v>
      </c>
    </row>
    <row r="25" spans="1:2" x14ac:dyDescent="0.3">
      <c r="A25" s="1">
        <v>24</v>
      </c>
      <c r="B25" s="2">
        <f t="shared" si="0"/>
        <v>6647</v>
      </c>
    </row>
    <row r="26" spans="1:2" x14ac:dyDescent="0.3">
      <c r="A26" s="1">
        <v>25</v>
      </c>
      <c r="B26" s="2">
        <f t="shared" si="0"/>
        <v>7976</v>
      </c>
    </row>
    <row r="27" spans="1:2" x14ac:dyDescent="0.3">
      <c r="A27" s="1">
        <v>26</v>
      </c>
      <c r="B27" s="2">
        <f t="shared" si="0"/>
        <v>9571</v>
      </c>
    </row>
    <row r="28" spans="1:2" x14ac:dyDescent="0.3">
      <c r="A28" s="1">
        <v>27</v>
      </c>
      <c r="B28" s="2">
        <f t="shared" si="0"/>
        <v>11485</v>
      </c>
    </row>
    <row r="29" spans="1:2" x14ac:dyDescent="0.3">
      <c r="A29" s="1">
        <v>28</v>
      </c>
      <c r="B29" s="2">
        <f t="shared" si="0"/>
        <v>13782</v>
      </c>
    </row>
    <row r="30" spans="1:2" x14ac:dyDescent="0.3">
      <c r="A30" s="1">
        <v>29</v>
      </c>
      <c r="B30" s="2">
        <f t="shared" si="0"/>
        <v>16538</v>
      </c>
    </row>
    <row r="31" spans="1:2" x14ac:dyDescent="0.3">
      <c r="A31" s="1">
        <v>30</v>
      </c>
      <c r="B31" s="2">
        <f t="shared" si="0"/>
        <v>19846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64C0-7984-4429-B8A6-800DAEE8AA20}">
  <dimension ref="A1:H13"/>
  <sheetViews>
    <sheetView tabSelected="1" workbookViewId="0">
      <selection activeCell="C16" sqref="C16"/>
    </sheetView>
  </sheetViews>
  <sheetFormatPr defaultRowHeight="16.5" x14ac:dyDescent="0.3"/>
  <cols>
    <col min="2" max="2" width="14" customWidth="1"/>
    <col min="3" max="3" width="25.5" customWidth="1"/>
    <col min="4" max="4" width="19" customWidth="1"/>
    <col min="5" max="5" width="14.625" customWidth="1"/>
    <col min="7" max="7" width="13.75" customWidth="1"/>
    <col min="8" max="8" width="13.5" customWidth="1"/>
  </cols>
  <sheetData>
    <row r="1" spans="1:8" x14ac:dyDescent="0.3">
      <c r="A1" s="1" t="s">
        <v>40</v>
      </c>
      <c r="B1" s="1" t="s">
        <v>39</v>
      </c>
      <c r="C1" s="1" t="s">
        <v>67</v>
      </c>
      <c r="D1" s="1" t="s">
        <v>52</v>
      </c>
      <c r="E1" s="1" t="s">
        <v>2</v>
      </c>
      <c r="F1" s="1" t="s">
        <v>1</v>
      </c>
      <c r="G1" s="1" t="s">
        <v>7</v>
      </c>
      <c r="H1" s="1" t="s">
        <v>41</v>
      </c>
    </row>
    <row r="2" spans="1:8" x14ac:dyDescent="0.3">
      <c r="A2" s="1">
        <v>2000</v>
      </c>
      <c r="B2" s="1" t="s">
        <v>53</v>
      </c>
      <c r="C2" s="1" t="s">
        <v>65</v>
      </c>
      <c r="D2" s="1">
        <v>1000</v>
      </c>
      <c r="E2" s="1">
        <v>50</v>
      </c>
      <c r="F2" s="1">
        <v>200</v>
      </c>
      <c r="G2" s="1">
        <v>0.05</v>
      </c>
      <c r="H2" s="1">
        <v>0.5</v>
      </c>
    </row>
    <row r="3" spans="1:8" x14ac:dyDescent="0.3">
      <c r="A3" s="1">
        <v>2001</v>
      </c>
      <c r="B3" s="1" t="s">
        <v>54</v>
      </c>
      <c r="C3" s="1" t="s">
        <v>66</v>
      </c>
      <c r="D3" s="1">
        <v>1001</v>
      </c>
      <c r="E3" s="1">
        <v>50</v>
      </c>
      <c r="F3" s="1">
        <v>200</v>
      </c>
      <c r="G3" s="1">
        <v>0.05</v>
      </c>
      <c r="H3" s="1">
        <v>0.5</v>
      </c>
    </row>
    <row r="4" spans="1:8" x14ac:dyDescent="0.3">
      <c r="A4" s="1">
        <v>2002</v>
      </c>
      <c r="B4" s="1" t="s">
        <v>55</v>
      </c>
      <c r="C4" s="1" t="s">
        <v>68</v>
      </c>
      <c r="D4" s="1">
        <v>1002</v>
      </c>
      <c r="E4" s="1">
        <v>50</v>
      </c>
      <c r="F4" s="1">
        <v>200</v>
      </c>
      <c r="G4" s="1">
        <v>0.05</v>
      </c>
      <c r="H4" s="1">
        <v>0.5</v>
      </c>
    </row>
    <row r="5" spans="1:8" x14ac:dyDescent="0.3">
      <c r="A5" s="1">
        <v>2003</v>
      </c>
      <c r="B5" s="1" t="s">
        <v>56</v>
      </c>
      <c r="C5" s="1" t="s">
        <v>69</v>
      </c>
      <c r="D5" s="1">
        <v>1003</v>
      </c>
      <c r="E5" s="1">
        <v>50</v>
      </c>
      <c r="F5" s="1">
        <v>200</v>
      </c>
      <c r="G5" s="1">
        <v>0.05</v>
      </c>
      <c r="H5" s="1">
        <v>0.5</v>
      </c>
    </row>
    <row r="6" spans="1:8" x14ac:dyDescent="0.3">
      <c r="A6" s="1">
        <v>2004</v>
      </c>
      <c r="B6" s="1" t="s">
        <v>57</v>
      </c>
      <c r="C6" s="1" t="s">
        <v>70</v>
      </c>
      <c r="D6" s="1">
        <v>1004</v>
      </c>
      <c r="E6" s="1">
        <v>50</v>
      </c>
      <c r="F6" s="1">
        <v>200</v>
      </c>
      <c r="G6" s="1">
        <v>0.05</v>
      </c>
      <c r="H6" s="1">
        <v>0.5</v>
      </c>
    </row>
    <row r="7" spans="1:8" x14ac:dyDescent="0.3">
      <c r="A7" s="1">
        <v>2005</v>
      </c>
      <c r="B7" s="1" t="s">
        <v>58</v>
      </c>
      <c r="C7" s="1" t="s">
        <v>71</v>
      </c>
      <c r="D7" s="1">
        <v>1005</v>
      </c>
      <c r="E7" s="1">
        <v>50</v>
      </c>
      <c r="F7" s="1">
        <v>200</v>
      </c>
      <c r="G7" s="1">
        <v>0.05</v>
      </c>
      <c r="H7" s="1">
        <v>0.5</v>
      </c>
    </row>
    <row r="8" spans="1:8" ht="18.75" x14ac:dyDescent="0.4">
      <c r="A8" s="1">
        <v>2006</v>
      </c>
      <c r="B8" s="1" t="s">
        <v>59</v>
      </c>
      <c r="C8" s="1" t="s">
        <v>92</v>
      </c>
      <c r="D8" s="1">
        <v>1006</v>
      </c>
      <c r="E8" s="1">
        <v>50</v>
      </c>
      <c r="F8" s="1">
        <v>200</v>
      </c>
      <c r="G8" s="1">
        <v>0.05</v>
      </c>
      <c r="H8" s="1">
        <v>0.5</v>
      </c>
    </row>
    <row r="9" spans="1:8" x14ac:dyDescent="0.3">
      <c r="A9" s="1">
        <v>2007</v>
      </c>
      <c r="B9" s="1" t="s">
        <v>60</v>
      </c>
      <c r="C9" s="1" t="s">
        <v>72</v>
      </c>
      <c r="D9" s="1">
        <v>1007</v>
      </c>
      <c r="E9" s="1">
        <v>50</v>
      </c>
      <c r="F9" s="1">
        <v>200</v>
      </c>
      <c r="G9" s="1">
        <v>0.05</v>
      </c>
      <c r="H9" s="1">
        <v>0.5</v>
      </c>
    </row>
    <row r="10" spans="1:8" x14ac:dyDescent="0.3">
      <c r="A10" s="1">
        <v>2008</v>
      </c>
      <c r="B10" s="1" t="s">
        <v>61</v>
      </c>
      <c r="C10" s="1" t="s">
        <v>73</v>
      </c>
      <c r="D10" s="1">
        <v>1008</v>
      </c>
      <c r="E10" s="1">
        <v>50</v>
      </c>
      <c r="F10" s="1">
        <v>200</v>
      </c>
      <c r="G10" s="1">
        <v>0.05</v>
      </c>
      <c r="H10" s="1">
        <v>0.5</v>
      </c>
    </row>
    <row r="11" spans="1:8" x14ac:dyDescent="0.3">
      <c r="A11" s="1">
        <v>2009</v>
      </c>
      <c r="B11" s="1" t="s">
        <v>62</v>
      </c>
      <c r="C11" s="1" t="s">
        <v>74</v>
      </c>
      <c r="D11" s="1">
        <v>1009</v>
      </c>
      <c r="E11" s="1">
        <v>50</v>
      </c>
      <c r="F11" s="1">
        <v>200</v>
      </c>
      <c r="G11" s="1">
        <v>0.05</v>
      </c>
      <c r="H11" s="1">
        <v>0.5</v>
      </c>
    </row>
    <row r="12" spans="1:8" x14ac:dyDescent="0.3">
      <c r="A12" s="1">
        <v>2010</v>
      </c>
      <c r="B12" s="1" t="s">
        <v>63</v>
      </c>
      <c r="C12" s="1" t="s">
        <v>75</v>
      </c>
      <c r="D12" s="1">
        <v>1010</v>
      </c>
      <c r="E12" s="1">
        <v>50</v>
      </c>
      <c r="F12" s="1">
        <v>200</v>
      </c>
      <c r="G12" s="1">
        <v>0.05</v>
      </c>
      <c r="H12" s="1">
        <v>0.5</v>
      </c>
    </row>
    <row r="13" spans="1:8" x14ac:dyDescent="0.3">
      <c r="A13" s="1">
        <v>2011</v>
      </c>
      <c r="B13" s="1" t="s">
        <v>64</v>
      </c>
      <c r="C13" s="1" t="s">
        <v>93</v>
      </c>
      <c r="D13" s="1">
        <v>1011</v>
      </c>
      <c r="E13" s="1">
        <v>50</v>
      </c>
      <c r="F13" s="1">
        <v>200</v>
      </c>
      <c r="G13" s="1">
        <v>0.05</v>
      </c>
      <c r="H13" s="1">
        <v>0.5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860E-2CED-455F-87A6-1F2C1C9DFA10}">
  <dimension ref="A1:H26"/>
  <sheetViews>
    <sheetView workbookViewId="0">
      <selection activeCell="M19" sqref="M19"/>
    </sheetView>
  </sheetViews>
  <sheetFormatPr defaultRowHeight="16.5" x14ac:dyDescent="0.3"/>
  <cols>
    <col min="2" max="2" width="11.75" customWidth="1"/>
    <col min="3" max="3" width="13.375" customWidth="1"/>
    <col min="4" max="4" width="15" customWidth="1"/>
    <col min="5" max="6" width="15.875" customWidth="1"/>
  </cols>
  <sheetData>
    <row r="1" spans="1:8" x14ac:dyDescent="0.3">
      <c r="A1" s="1" t="s">
        <v>36</v>
      </c>
      <c r="B1" s="1" t="s">
        <v>5</v>
      </c>
      <c r="C1" s="1" t="s">
        <v>4</v>
      </c>
      <c r="D1" s="1" t="s">
        <v>50</v>
      </c>
      <c r="E1" s="1" t="s">
        <v>51</v>
      </c>
      <c r="F1" s="1" t="s">
        <v>77</v>
      </c>
      <c r="H1" s="4" t="s">
        <v>76</v>
      </c>
    </row>
    <row r="2" spans="1:8" x14ac:dyDescent="0.3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1.2</v>
      </c>
      <c r="H2" s="1"/>
    </row>
    <row r="3" spans="1:8" x14ac:dyDescent="0.3">
      <c r="A3" s="1">
        <v>2</v>
      </c>
      <c r="B3" s="1">
        <f>(A3-1)*5 + ROUND(POWER(A3-1, 2) * $F$2, 0)</f>
        <v>6</v>
      </c>
      <c r="C3" s="3">
        <f>(A3-1)*20 + ROUND(POWER(A3-1, 2) * ($F$2 * 3), 0)</f>
        <v>24</v>
      </c>
      <c r="D3" s="1">
        <f>ROUND((A3-1)*0.0035 + POWER(A3-1, 2) * ($F$2 * 0.0003125), 3)</f>
        <v>4.0000000000000001E-3</v>
      </c>
      <c r="E3" s="1">
        <f>ROUND((A3-1)*0.007 + POWER(A3-1, 2) * ($F$2 * 0.000625), 3)</f>
        <v>8.0000000000000002E-3</v>
      </c>
    </row>
    <row r="4" spans="1:8" x14ac:dyDescent="0.3">
      <c r="A4" s="1">
        <v>3</v>
      </c>
      <c r="B4" s="1">
        <f t="shared" ref="B4:B26" si="0">(A4-1)*5 + ROUND(POWER(A4-1, 2) * $F$2, 0)</f>
        <v>15</v>
      </c>
      <c r="C4" s="3">
        <f t="shared" ref="C4:C26" si="1">(A4-1)*20 + ROUND(POWER(A4-1, 2) * ($F$2 * 3), 0)</f>
        <v>54</v>
      </c>
      <c r="D4" s="1">
        <f t="shared" ref="D4:D26" si="2">ROUND((A4-1)*0.0035 + POWER(A4-1, 2) * ($F$2 * 0.0003125), 3)</f>
        <v>8.9999999999999993E-3</v>
      </c>
      <c r="E4" s="1">
        <f t="shared" ref="E4:E26" si="3">ROUND((A4-1)*0.007 + POWER(A4-1, 2) * ($F$2 * 0.000625), 3)</f>
        <v>1.7000000000000001E-2</v>
      </c>
    </row>
    <row r="5" spans="1:8" x14ac:dyDescent="0.3">
      <c r="A5" s="1">
        <v>4</v>
      </c>
      <c r="B5" s="1">
        <f t="shared" si="0"/>
        <v>26</v>
      </c>
      <c r="C5" s="3">
        <f t="shared" si="1"/>
        <v>92</v>
      </c>
      <c r="D5" s="1">
        <f t="shared" si="2"/>
        <v>1.4E-2</v>
      </c>
      <c r="E5" s="1">
        <f t="shared" si="3"/>
        <v>2.8000000000000001E-2</v>
      </c>
    </row>
    <row r="6" spans="1:8" x14ac:dyDescent="0.3">
      <c r="A6" s="1">
        <v>5</v>
      </c>
      <c r="B6" s="1">
        <f t="shared" si="0"/>
        <v>39</v>
      </c>
      <c r="C6" s="3">
        <f t="shared" si="1"/>
        <v>138</v>
      </c>
      <c r="D6" s="1">
        <f t="shared" si="2"/>
        <v>0.02</v>
      </c>
      <c r="E6" s="1">
        <f t="shared" si="3"/>
        <v>0.04</v>
      </c>
      <c r="H6" t="s">
        <v>78</v>
      </c>
    </row>
    <row r="7" spans="1:8" x14ac:dyDescent="0.3">
      <c r="A7" s="1">
        <v>6</v>
      </c>
      <c r="B7" s="1">
        <f t="shared" si="0"/>
        <v>55</v>
      </c>
      <c r="C7" s="3">
        <f t="shared" si="1"/>
        <v>190</v>
      </c>
      <c r="D7" s="1">
        <f t="shared" si="2"/>
        <v>2.7E-2</v>
      </c>
      <c r="E7" s="1">
        <f t="shared" si="3"/>
        <v>5.3999999999999999E-2</v>
      </c>
      <c r="H7" t="s">
        <v>79</v>
      </c>
    </row>
    <row r="8" spans="1:8" x14ac:dyDescent="0.3">
      <c r="A8" s="1">
        <v>7</v>
      </c>
      <c r="B8" s="1">
        <f t="shared" si="0"/>
        <v>73</v>
      </c>
      <c r="C8" s="3">
        <f t="shared" si="1"/>
        <v>250</v>
      </c>
      <c r="D8" s="1">
        <f t="shared" si="2"/>
        <v>3.5000000000000003E-2</v>
      </c>
      <c r="E8" s="1">
        <f t="shared" si="3"/>
        <v>6.9000000000000006E-2</v>
      </c>
    </row>
    <row r="9" spans="1:8" x14ac:dyDescent="0.3">
      <c r="A9" s="1">
        <v>8</v>
      </c>
      <c r="B9" s="1">
        <f t="shared" si="0"/>
        <v>94</v>
      </c>
      <c r="C9" s="3">
        <f t="shared" si="1"/>
        <v>316</v>
      </c>
      <c r="D9" s="1">
        <f t="shared" si="2"/>
        <v>4.2999999999999997E-2</v>
      </c>
      <c r="E9" s="1">
        <f t="shared" si="3"/>
        <v>8.5999999999999993E-2</v>
      </c>
      <c r="H9" t="s">
        <v>80</v>
      </c>
    </row>
    <row r="10" spans="1:8" x14ac:dyDescent="0.3">
      <c r="A10" s="1">
        <v>9</v>
      </c>
      <c r="B10" s="1">
        <f t="shared" si="0"/>
        <v>117</v>
      </c>
      <c r="C10" s="3">
        <f t="shared" si="1"/>
        <v>390</v>
      </c>
      <c r="D10" s="1">
        <f t="shared" si="2"/>
        <v>5.1999999999999998E-2</v>
      </c>
      <c r="E10" s="1">
        <f t="shared" si="3"/>
        <v>0.104</v>
      </c>
      <c r="H10" t="s">
        <v>81</v>
      </c>
    </row>
    <row r="11" spans="1:8" x14ac:dyDescent="0.3">
      <c r="A11" s="1">
        <v>10</v>
      </c>
      <c r="B11" s="1">
        <f t="shared" si="0"/>
        <v>142</v>
      </c>
      <c r="C11" s="3">
        <f t="shared" si="1"/>
        <v>472</v>
      </c>
      <c r="D11" s="1">
        <f t="shared" si="2"/>
        <v>6.2E-2</v>
      </c>
      <c r="E11" s="1">
        <f t="shared" si="3"/>
        <v>0.124</v>
      </c>
    </row>
    <row r="12" spans="1:8" x14ac:dyDescent="0.3">
      <c r="A12" s="1">
        <v>11</v>
      </c>
      <c r="B12" s="1">
        <f t="shared" si="0"/>
        <v>170</v>
      </c>
      <c r="C12" s="3">
        <f t="shared" si="1"/>
        <v>560</v>
      </c>
      <c r="D12" s="1">
        <f t="shared" si="2"/>
        <v>7.2999999999999995E-2</v>
      </c>
      <c r="E12" s="1">
        <f t="shared" si="3"/>
        <v>0.14499999999999999</v>
      </c>
    </row>
    <row r="13" spans="1:8" x14ac:dyDescent="0.3">
      <c r="A13" s="1">
        <v>12</v>
      </c>
      <c r="B13" s="1">
        <f t="shared" si="0"/>
        <v>200</v>
      </c>
      <c r="C13" s="3">
        <f t="shared" si="1"/>
        <v>656</v>
      </c>
      <c r="D13" s="1">
        <f t="shared" si="2"/>
        <v>8.4000000000000005E-2</v>
      </c>
      <c r="E13" s="1">
        <f t="shared" si="3"/>
        <v>0.16800000000000001</v>
      </c>
    </row>
    <row r="14" spans="1:8" x14ac:dyDescent="0.3">
      <c r="A14" s="1">
        <v>13</v>
      </c>
      <c r="B14" s="1">
        <f t="shared" si="0"/>
        <v>233</v>
      </c>
      <c r="C14" s="3">
        <f t="shared" si="1"/>
        <v>758</v>
      </c>
      <c r="D14" s="1">
        <f t="shared" si="2"/>
        <v>9.6000000000000002E-2</v>
      </c>
      <c r="E14" s="1">
        <f t="shared" si="3"/>
        <v>0.192</v>
      </c>
    </row>
    <row r="15" spans="1:8" x14ac:dyDescent="0.3">
      <c r="A15" s="1">
        <v>14</v>
      </c>
      <c r="B15" s="1">
        <f t="shared" si="0"/>
        <v>268</v>
      </c>
      <c r="C15" s="3">
        <f t="shared" si="1"/>
        <v>868</v>
      </c>
      <c r="D15" s="1">
        <f t="shared" si="2"/>
        <v>0.109</v>
      </c>
      <c r="E15" s="1">
        <f t="shared" si="3"/>
        <v>0.218</v>
      </c>
    </row>
    <row r="16" spans="1:8" x14ac:dyDescent="0.3">
      <c r="A16" s="1">
        <v>15</v>
      </c>
      <c r="B16" s="1">
        <f t="shared" si="0"/>
        <v>305</v>
      </c>
      <c r="C16" s="3">
        <f t="shared" si="1"/>
        <v>986</v>
      </c>
      <c r="D16" s="1">
        <f t="shared" si="2"/>
        <v>0.123</v>
      </c>
      <c r="E16" s="1">
        <f t="shared" si="3"/>
        <v>0.245</v>
      </c>
    </row>
    <row r="17" spans="1:5" x14ac:dyDescent="0.3">
      <c r="A17" s="1">
        <v>16</v>
      </c>
      <c r="B17" s="1">
        <f t="shared" si="0"/>
        <v>345</v>
      </c>
      <c r="C17" s="3">
        <f t="shared" si="1"/>
        <v>1110</v>
      </c>
      <c r="D17" s="1">
        <f t="shared" si="2"/>
        <v>0.13700000000000001</v>
      </c>
      <c r="E17" s="1">
        <f t="shared" si="3"/>
        <v>0.27400000000000002</v>
      </c>
    </row>
    <row r="18" spans="1:5" x14ac:dyDescent="0.3">
      <c r="A18" s="1">
        <v>17</v>
      </c>
      <c r="B18" s="1">
        <f t="shared" si="0"/>
        <v>387</v>
      </c>
      <c r="C18" s="3">
        <f t="shared" si="1"/>
        <v>1242</v>
      </c>
      <c r="D18" s="1">
        <f t="shared" si="2"/>
        <v>0.152</v>
      </c>
      <c r="E18" s="1">
        <f t="shared" si="3"/>
        <v>0.30399999999999999</v>
      </c>
    </row>
    <row r="19" spans="1:5" x14ac:dyDescent="0.3">
      <c r="A19" s="1">
        <v>18</v>
      </c>
      <c r="B19" s="1">
        <f t="shared" si="0"/>
        <v>432</v>
      </c>
      <c r="C19" s="3">
        <f t="shared" si="1"/>
        <v>1380</v>
      </c>
      <c r="D19" s="1">
        <f t="shared" si="2"/>
        <v>0.16800000000000001</v>
      </c>
      <c r="E19" s="1">
        <f t="shared" si="3"/>
        <v>0.33600000000000002</v>
      </c>
    </row>
    <row r="20" spans="1:5" x14ac:dyDescent="0.3">
      <c r="A20" s="1">
        <v>19</v>
      </c>
      <c r="B20" s="1">
        <f t="shared" si="0"/>
        <v>479</v>
      </c>
      <c r="C20" s="3">
        <f t="shared" si="1"/>
        <v>1526</v>
      </c>
      <c r="D20" s="1">
        <f t="shared" si="2"/>
        <v>0.185</v>
      </c>
      <c r="E20" s="1">
        <f t="shared" si="3"/>
        <v>0.36899999999999999</v>
      </c>
    </row>
    <row r="21" spans="1:5" x14ac:dyDescent="0.3">
      <c r="A21" s="1">
        <v>20</v>
      </c>
      <c r="B21" s="1">
        <f t="shared" si="0"/>
        <v>528</v>
      </c>
      <c r="C21" s="3">
        <f t="shared" si="1"/>
        <v>1680</v>
      </c>
      <c r="D21" s="1">
        <f t="shared" si="2"/>
        <v>0.20200000000000001</v>
      </c>
      <c r="E21" s="1">
        <f t="shared" si="3"/>
        <v>0.40400000000000003</v>
      </c>
    </row>
    <row r="22" spans="1:5" x14ac:dyDescent="0.3">
      <c r="A22" s="1">
        <v>21</v>
      </c>
      <c r="B22" s="1">
        <f t="shared" si="0"/>
        <v>580</v>
      </c>
      <c r="C22" s="3">
        <f t="shared" si="1"/>
        <v>1840</v>
      </c>
      <c r="D22" s="1">
        <f t="shared" si="2"/>
        <v>0.22</v>
      </c>
      <c r="E22" s="1">
        <f t="shared" si="3"/>
        <v>0.44</v>
      </c>
    </row>
    <row r="23" spans="1:5" x14ac:dyDescent="0.3">
      <c r="A23" s="1">
        <v>22</v>
      </c>
      <c r="B23" s="1">
        <f t="shared" si="0"/>
        <v>634</v>
      </c>
      <c r="C23" s="3">
        <f t="shared" si="1"/>
        <v>2008</v>
      </c>
      <c r="D23" s="1">
        <f t="shared" si="2"/>
        <v>0.23899999999999999</v>
      </c>
      <c r="E23" s="1">
        <f t="shared" si="3"/>
        <v>0.47799999999999998</v>
      </c>
    </row>
    <row r="24" spans="1:5" x14ac:dyDescent="0.3">
      <c r="A24" s="1">
        <v>23</v>
      </c>
      <c r="B24" s="1">
        <f t="shared" si="0"/>
        <v>691</v>
      </c>
      <c r="C24" s="3">
        <f t="shared" si="1"/>
        <v>2182</v>
      </c>
      <c r="D24" s="1">
        <f t="shared" si="2"/>
        <v>0.25900000000000001</v>
      </c>
      <c r="E24" s="1">
        <f t="shared" si="3"/>
        <v>0.51700000000000002</v>
      </c>
    </row>
    <row r="25" spans="1:5" x14ac:dyDescent="0.3">
      <c r="A25" s="1">
        <v>24</v>
      </c>
      <c r="B25" s="1">
        <f t="shared" si="0"/>
        <v>750</v>
      </c>
      <c r="C25" s="3">
        <f t="shared" si="1"/>
        <v>2364</v>
      </c>
      <c r="D25" s="1">
        <f t="shared" si="2"/>
        <v>0.27900000000000003</v>
      </c>
      <c r="E25" s="1">
        <f t="shared" si="3"/>
        <v>0.55800000000000005</v>
      </c>
    </row>
    <row r="26" spans="1:5" x14ac:dyDescent="0.3">
      <c r="A26" s="1">
        <v>25</v>
      </c>
      <c r="B26" s="1">
        <f t="shared" si="0"/>
        <v>811</v>
      </c>
      <c r="C26" s="3">
        <f t="shared" si="1"/>
        <v>2554</v>
      </c>
      <c r="D26" s="1">
        <f t="shared" si="2"/>
        <v>0.3</v>
      </c>
      <c r="E26" s="1">
        <f t="shared" si="3"/>
        <v>0.6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F952-F369-4EF1-B1E0-FD60603BF595}">
  <dimension ref="A1:J26"/>
  <sheetViews>
    <sheetView workbookViewId="0">
      <selection activeCell="D4" sqref="D4"/>
    </sheetView>
  </sheetViews>
  <sheetFormatPr defaultRowHeight="16.5" x14ac:dyDescent="0.3"/>
  <cols>
    <col min="1" max="1" width="13.125" customWidth="1"/>
    <col min="2" max="2" width="12.625" customWidth="1"/>
    <col min="3" max="3" width="13.75" customWidth="1"/>
    <col min="4" max="4" width="16.125" customWidth="1"/>
    <col min="5" max="5" width="13.25" customWidth="1"/>
    <col min="6" max="6" width="16.5" customWidth="1"/>
    <col min="7" max="7" width="13.5" customWidth="1"/>
    <col min="8" max="8" width="16.875" customWidth="1"/>
    <col min="9" max="9" width="26.5" customWidth="1"/>
  </cols>
  <sheetData>
    <row r="1" spans="1:10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10" x14ac:dyDescent="0.3">
      <c r="A2" s="1">
        <v>2</v>
      </c>
      <c r="B2" s="1">
        <f>ROUND($J$2*POWER($J$3, A2-2), 0)</f>
        <v>200</v>
      </c>
      <c r="C2" s="1">
        <v>30000</v>
      </c>
      <c r="D2" s="1">
        <f>ROUND($J$4*POWER($J$5, A2-2), 0)</f>
        <v>2</v>
      </c>
      <c r="E2" s="1">
        <v>30001</v>
      </c>
      <c r="F2" s="1">
        <f>IF(A2&lt;$J$6, 0, ROUND($J$7*POWER($J$8, A2-$J$6), 0))</f>
        <v>0</v>
      </c>
      <c r="G2" s="1">
        <v>30002</v>
      </c>
      <c r="H2" s="1">
        <f>IF(A2&lt;$J$9, 0, ROUND($J$10*POWER($J$11, A2-$J$9), 0))</f>
        <v>0</v>
      </c>
      <c r="I2" s="1" t="s">
        <v>82</v>
      </c>
      <c r="J2">
        <v>200</v>
      </c>
    </row>
    <row r="3" spans="1:10" x14ac:dyDescent="0.3">
      <c r="A3" s="1">
        <v>3</v>
      </c>
      <c r="B3" s="1">
        <f t="shared" ref="B3:B25" si="0">ROUND($J$2*POWER($J$3, A3-2), 0)</f>
        <v>224</v>
      </c>
      <c r="C3" s="1">
        <v>30000</v>
      </c>
      <c r="D3" s="1">
        <f>ROUND($J$4*POWER($J$5, A3-2), 0)</f>
        <v>2</v>
      </c>
      <c r="E3" s="1">
        <v>30001</v>
      </c>
      <c r="F3" s="1">
        <f t="shared" ref="F3:F25" si="1">IF(A3&lt;$J$6, 0, ROUND($J$7*POWER($J$8, A3-$J$6), 0))</f>
        <v>0</v>
      </c>
      <c r="G3" s="1">
        <v>30002</v>
      </c>
      <c r="H3" s="1">
        <f t="shared" ref="H3:H25" si="2">IF(A3&lt;$J$9, 0, ROUND($J$10*POWER($J$11, A3-$J$9), 0))</f>
        <v>0</v>
      </c>
      <c r="I3" s="1" t="s">
        <v>83</v>
      </c>
      <c r="J3">
        <v>1.1200000000000001</v>
      </c>
    </row>
    <row r="4" spans="1:10" x14ac:dyDescent="0.3">
      <c r="A4" s="1">
        <v>4</v>
      </c>
      <c r="B4" s="1">
        <f t="shared" si="0"/>
        <v>251</v>
      </c>
      <c r="C4" s="1">
        <v>30000</v>
      </c>
      <c r="D4" s="1">
        <f t="shared" ref="D4:D25" si="3">ROUND($J$4*POWER($J$5, A4-2), 0)</f>
        <v>2</v>
      </c>
      <c r="E4" s="1">
        <v>30001</v>
      </c>
      <c r="F4" s="1">
        <f t="shared" si="1"/>
        <v>0</v>
      </c>
      <c r="G4" s="1">
        <v>30002</v>
      </c>
      <c r="H4" s="1">
        <f t="shared" si="2"/>
        <v>0</v>
      </c>
      <c r="I4" s="1" t="s">
        <v>84</v>
      </c>
      <c r="J4">
        <v>2</v>
      </c>
    </row>
    <row r="5" spans="1:10" x14ac:dyDescent="0.3">
      <c r="A5" s="1">
        <v>5</v>
      </c>
      <c r="B5" s="1">
        <f t="shared" si="0"/>
        <v>281</v>
      </c>
      <c r="C5" s="1">
        <v>30000</v>
      </c>
      <c r="D5" s="1">
        <f t="shared" si="3"/>
        <v>3</v>
      </c>
      <c r="E5" s="1">
        <v>30001</v>
      </c>
      <c r="F5" s="1">
        <f t="shared" si="1"/>
        <v>0</v>
      </c>
      <c r="G5" s="1">
        <v>30002</v>
      </c>
      <c r="H5" s="1">
        <f t="shared" si="2"/>
        <v>0</v>
      </c>
      <c r="I5" s="1" t="s">
        <v>85</v>
      </c>
      <c r="J5">
        <v>1.1000000000000001</v>
      </c>
    </row>
    <row r="6" spans="1:10" x14ac:dyDescent="0.3">
      <c r="A6" s="1">
        <v>6</v>
      </c>
      <c r="B6" s="1">
        <f t="shared" si="0"/>
        <v>315</v>
      </c>
      <c r="C6" s="1">
        <v>30000</v>
      </c>
      <c r="D6" s="1">
        <f t="shared" si="3"/>
        <v>3</v>
      </c>
      <c r="E6" s="1">
        <v>30001</v>
      </c>
      <c r="F6" s="1">
        <f t="shared" si="1"/>
        <v>0</v>
      </c>
      <c r="G6" s="1">
        <v>30002</v>
      </c>
      <c r="H6" s="1">
        <f t="shared" si="2"/>
        <v>0</v>
      </c>
      <c r="I6" s="1" t="s">
        <v>86</v>
      </c>
      <c r="J6">
        <v>10</v>
      </c>
    </row>
    <row r="7" spans="1:10" x14ac:dyDescent="0.3">
      <c r="A7" s="1">
        <v>7</v>
      </c>
      <c r="B7" s="1">
        <f t="shared" si="0"/>
        <v>352</v>
      </c>
      <c r="C7" s="1">
        <v>30000</v>
      </c>
      <c r="D7" s="1">
        <f t="shared" si="3"/>
        <v>3</v>
      </c>
      <c r="E7" s="1">
        <v>30001</v>
      </c>
      <c r="F7" s="1">
        <f t="shared" si="1"/>
        <v>0</v>
      </c>
      <c r="G7" s="1">
        <v>30002</v>
      </c>
      <c r="H7" s="1">
        <f t="shared" si="2"/>
        <v>0</v>
      </c>
      <c r="I7" s="1" t="s">
        <v>87</v>
      </c>
      <c r="J7">
        <v>1</v>
      </c>
    </row>
    <row r="8" spans="1:10" x14ac:dyDescent="0.3">
      <c r="A8" s="1">
        <v>8</v>
      </c>
      <c r="B8" s="1">
        <f t="shared" si="0"/>
        <v>395</v>
      </c>
      <c r="C8" s="1">
        <v>30000</v>
      </c>
      <c r="D8" s="1">
        <f t="shared" si="3"/>
        <v>4</v>
      </c>
      <c r="E8" s="1">
        <v>30001</v>
      </c>
      <c r="F8" s="1">
        <f t="shared" si="1"/>
        <v>0</v>
      </c>
      <c r="G8" s="1">
        <v>30002</v>
      </c>
      <c r="H8" s="1">
        <f t="shared" si="2"/>
        <v>0</v>
      </c>
      <c r="I8" s="1" t="s">
        <v>88</v>
      </c>
      <c r="J8">
        <v>1.1200000000000001</v>
      </c>
    </row>
    <row r="9" spans="1:10" x14ac:dyDescent="0.3">
      <c r="A9" s="1">
        <v>9</v>
      </c>
      <c r="B9" s="1">
        <f t="shared" si="0"/>
        <v>442</v>
      </c>
      <c r="C9" s="1">
        <v>30000</v>
      </c>
      <c r="D9" s="1">
        <f t="shared" si="3"/>
        <v>4</v>
      </c>
      <c r="E9" s="1">
        <v>30001</v>
      </c>
      <c r="F9" s="1">
        <f t="shared" si="1"/>
        <v>0</v>
      </c>
      <c r="G9" s="1">
        <v>30002</v>
      </c>
      <c r="H9" s="1">
        <f t="shared" si="2"/>
        <v>0</v>
      </c>
      <c r="I9" s="1" t="s">
        <v>89</v>
      </c>
      <c r="J9">
        <v>18</v>
      </c>
    </row>
    <row r="10" spans="1:10" x14ac:dyDescent="0.3">
      <c r="A10" s="1">
        <v>10</v>
      </c>
      <c r="B10" s="1">
        <f t="shared" si="0"/>
        <v>495</v>
      </c>
      <c r="C10" s="1">
        <v>30000</v>
      </c>
      <c r="D10" s="1">
        <f t="shared" si="3"/>
        <v>4</v>
      </c>
      <c r="E10" s="1">
        <v>30001</v>
      </c>
      <c r="F10" s="1">
        <f t="shared" si="1"/>
        <v>1</v>
      </c>
      <c r="G10" s="1">
        <v>30002</v>
      </c>
      <c r="H10" s="1">
        <f t="shared" si="2"/>
        <v>0</v>
      </c>
      <c r="I10" s="1" t="s">
        <v>90</v>
      </c>
      <c r="J10">
        <v>1</v>
      </c>
    </row>
    <row r="11" spans="1:10" x14ac:dyDescent="0.3">
      <c r="A11" s="1">
        <v>11</v>
      </c>
      <c r="B11" s="1">
        <f t="shared" si="0"/>
        <v>555</v>
      </c>
      <c r="C11" s="1">
        <v>30000</v>
      </c>
      <c r="D11" s="1">
        <f t="shared" si="3"/>
        <v>5</v>
      </c>
      <c r="E11" s="1">
        <v>30001</v>
      </c>
      <c r="F11" s="1">
        <f t="shared" si="1"/>
        <v>1</v>
      </c>
      <c r="G11" s="1">
        <v>30002</v>
      </c>
      <c r="H11" s="1">
        <f t="shared" si="2"/>
        <v>0</v>
      </c>
      <c r="I11" s="1" t="s">
        <v>91</v>
      </c>
      <c r="J11">
        <v>1.1499999999999999</v>
      </c>
    </row>
    <row r="12" spans="1:10" x14ac:dyDescent="0.3">
      <c r="A12" s="1">
        <v>12</v>
      </c>
      <c r="B12" s="1">
        <f t="shared" si="0"/>
        <v>621</v>
      </c>
      <c r="C12" s="1">
        <v>30000</v>
      </c>
      <c r="D12" s="1">
        <f t="shared" si="3"/>
        <v>5</v>
      </c>
      <c r="E12" s="1">
        <v>30001</v>
      </c>
      <c r="F12" s="1">
        <f t="shared" si="1"/>
        <v>1</v>
      </c>
      <c r="G12" s="1">
        <v>30002</v>
      </c>
      <c r="H12" s="1">
        <f t="shared" si="2"/>
        <v>0</v>
      </c>
    </row>
    <row r="13" spans="1:10" x14ac:dyDescent="0.3">
      <c r="A13" s="1">
        <v>13</v>
      </c>
      <c r="B13" s="1">
        <f t="shared" si="0"/>
        <v>696</v>
      </c>
      <c r="C13" s="1">
        <v>30000</v>
      </c>
      <c r="D13" s="1">
        <f t="shared" si="3"/>
        <v>6</v>
      </c>
      <c r="E13" s="1">
        <v>30001</v>
      </c>
      <c r="F13" s="1">
        <f t="shared" si="1"/>
        <v>1</v>
      </c>
      <c r="G13" s="1">
        <v>30002</v>
      </c>
      <c r="H13" s="1">
        <f t="shared" si="2"/>
        <v>0</v>
      </c>
    </row>
    <row r="14" spans="1:10" x14ac:dyDescent="0.3">
      <c r="A14" s="1">
        <v>14</v>
      </c>
      <c r="B14" s="1">
        <f t="shared" si="0"/>
        <v>779</v>
      </c>
      <c r="C14" s="1">
        <v>30000</v>
      </c>
      <c r="D14" s="1">
        <f t="shared" si="3"/>
        <v>6</v>
      </c>
      <c r="E14" s="1">
        <v>30001</v>
      </c>
      <c r="F14" s="1">
        <f t="shared" si="1"/>
        <v>2</v>
      </c>
      <c r="G14" s="1">
        <v>30002</v>
      </c>
      <c r="H14" s="1">
        <f t="shared" si="2"/>
        <v>0</v>
      </c>
    </row>
    <row r="15" spans="1:10" x14ac:dyDescent="0.3">
      <c r="A15" s="1">
        <v>15</v>
      </c>
      <c r="B15" s="1">
        <f t="shared" si="0"/>
        <v>873</v>
      </c>
      <c r="C15" s="1">
        <v>30000</v>
      </c>
      <c r="D15" s="1">
        <f t="shared" si="3"/>
        <v>7</v>
      </c>
      <c r="E15" s="1">
        <v>30001</v>
      </c>
      <c r="F15" s="1">
        <f t="shared" si="1"/>
        <v>2</v>
      </c>
      <c r="G15" s="1">
        <v>30002</v>
      </c>
      <c r="H15" s="1">
        <f t="shared" si="2"/>
        <v>0</v>
      </c>
    </row>
    <row r="16" spans="1:10" x14ac:dyDescent="0.3">
      <c r="A16" s="1">
        <v>16</v>
      </c>
      <c r="B16" s="1">
        <f t="shared" si="0"/>
        <v>977</v>
      </c>
      <c r="C16" s="1">
        <v>30000</v>
      </c>
      <c r="D16" s="1">
        <f t="shared" si="3"/>
        <v>8</v>
      </c>
      <c r="E16" s="1">
        <v>30001</v>
      </c>
      <c r="F16" s="1">
        <f t="shared" si="1"/>
        <v>2</v>
      </c>
      <c r="G16" s="1">
        <v>30002</v>
      </c>
      <c r="H16" s="1">
        <f t="shared" si="2"/>
        <v>0</v>
      </c>
    </row>
    <row r="17" spans="1:8" x14ac:dyDescent="0.3">
      <c r="A17" s="1">
        <v>17</v>
      </c>
      <c r="B17" s="1">
        <f t="shared" si="0"/>
        <v>1095</v>
      </c>
      <c r="C17" s="1">
        <v>30000</v>
      </c>
      <c r="D17" s="1">
        <f t="shared" si="3"/>
        <v>8</v>
      </c>
      <c r="E17" s="1">
        <v>30001</v>
      </c>
      <c r="F17" s="1">
        <f t="shared" si="1"/>
        <v>2</v>
      </c>
      <c r="G17" s="1">
        <v>30002</v>
      </c>
      <c r="H17" s="1">
        <f t="shared" si="2"/>
        <v>0</v>
      </c>
    </row>
    <row r="18" spans="1:8" x14ac:dyDescent="0.3">
      <c r="A18" s="1">
        <v>18</v>
      </c>
      <c r="B18" s="1">
        <f t="shared" si="0"/>
        <v>1226</v>
      </c>
      <c r="C18" s="1">
        <v>30000</v>
      </c>
      <c r="D18" s="1">
        <f t="shared" si="3"/>
        <v>9</v>
      </c>
      <c r="E18" s="1">
        <v>30001</v>
      </c>
      <c r="F18" s="1">
        <f t="shared" si="1"/>
        <v>2</v>
      </c>
      <c r="G18" s="1">
        <v>30002</v>
      </c>
      <c r="H18" s="1">
        <f t="shared" si="2"/>
        <v>1</v>
      </c>
    </row>
    <row r="19" spans="1:8" x14ac:dyDescent="0.3">
      <c r="A19" s="1">
        <v>19</v>
      </c>
      <c r="B19" s="1">
        <f t="shared" si="0"/>
        <v>1373</v>
      </c>
      <c r="C19" s="1">
        <v>30000</v>
      </c>
      <c r="D19" s="1">
        <f t="shared" si="3"/>
        <v>10</v>
      </c>
      <c r="E19" s="1">
        <v>30001</v>
      </c>
      <c r="F19" s="1">
        <f t="shared" si="1"/>
        <v>3</v>
      </c>
      <c r="G19" s="1">
        <v>30002</v>
      </c>
      <c r="H19" s="1">
        <f t="shared" si="2"/>
        <v>1</v>
      </c>
    </row>
    <row r="20" spans="1:8" x14ac:dyDescent="0.3">
      <c r="A20" s="1">
        <v>20</v>
      </c>
      <c r="B20" s="1">
        <f t="shared" si="0"/>
        <v>1538</v>
      </c>
      <c r="C20" s="1">
        <v>30000</v>
      </c>
      <c r="D20" s="1">
        <f t="shared" si="3"/>
        <v>11</v>
      </c>
      <c r="E20" s="1">
        <v>30001</v>
      </c>
      <c r="F20" s="1">
        <f t="shared" si="1"/>
        <v>3</v>
      </c>
      <c r="G20" s="1">
        <v>30002</v>
      </c>
      <c r="H20" s="1">
        <f t="shared" si="2"/>
        <v>1</v>
      </c>
    </row>
    <row r="21" spans="1:8" x14ac:dyDescent="0.3">
      <c r="A21" s="1">
        <v>21</v>
      </c>
      <c r="B21" s="1">
        <f t="shared" si="0"/>
        <v>1723</v>
      </c>
      <c r="C21" s="1">
        <v>30000</v>
      </c>
      <c r="D21" s="1">
        <f t="shared" si="3"/>
        <v>12</v>
      </c>
      <c r="E21" s="1">
        <v>30001</v>
      </c>
      <c r="F21" s="1">
        <f t="shared" si="1"/>
        <v>3</v>
      </c>
      <c r="G21" s="1">
        <v>30002</v>
      </c>
      <c r="H21" s="1">
        <f t="shared" si="2"/>
        <v>2</v>
      </c>
    </row>
    <row r="22" spans="1:8" x14ac:dyDescent="0.3">
      <c r="A22" s="1">
        <v>22</v>
      </c>
      <c r="B22" s="1">
        <f t="shared" si="0"/>
        <v>1929</v>
      </c>
      <c r="C22" s="1">
        <v>30000</v>
      </c>
      <c r="D22" s="1">
        <f t="shared" si="3"/>
        <v>13</v>
      </c>
      <c r="E22" s="1">
        <v>30001</v>
      </c>
      <c r="F22" s="1">
        <f t="shared" si="1"/>
        <v>4</v>
      </c>
      <c r="G22" s="1">
        <v>30002</v>
      </c>
      <c r="H22" s="1">
        <f t="shared" si="2"/>
        <v>2</v>
      </c>
    </row>
    <row r="23" spans="1:8" x14ac:dyDescent="0.3">
      <c r="A23" s="1">
        <v>23</v>
      </c>
      <c r="B23" s="1">
        <f t="shared" si="0"/>
        <v>2161</v>
      </c>
      <c r="C23" s="1">
        <v>30000</v>
      </c>
      <c r="D23" s="1">
        <f t="shared" si="3"/>
        <v>15</v>
      </c>
      <c r="E23" s="1">
        <v>30001</v>
      </c>
      <c r="F23" s="1">
        <f t="shared" si="1"/>
        <v>4</v>
      </c>
      <c r="G23" s="1">
        <v>30002</v>
      </c>
      <c r="H23" s="1">
        <f t="shared" si="2"/>
        <v>2</v>
      </c>
    </row>
    <row r="24" spans="1:8" x14ac:dyDescent="0.3">
      <c r="A24" s="1">
        <v>24</v>
      </c>
      <c r="B24" s="1">
        <f t="shared" si="0"/>
        <v>2420</v>
      </c>
      <c r="C24" s="1">
        <v>30000</v>
      </c>
      <c r="D24" s="1">
        <f t="shared" si="3"/>
        <v>16</v>
      </c>
      <c r="E24" s="1">
        <v>30001</v>
      </c>
      <c r="F24" s="1">
        <f t="shared" si="1"/>
        <v>5</v>
      </c>
      <c r="G24" s="1">
        <v>30002</v>
      </c>
      <c r="H24" s="1">
        <f t="shared" si="2"/>
        <v>2</v>
      </c>
    </row>
    <row r="25" spans="1:8" x14ac:dyDescent="0.3">
      <c r="A25" s="1">
        <v>25</v>
      </c>
      <c r="B25" s="1">
        <f t="shared" si="0"/>
        <v>2710</v>
      </c>
      <c r="C25" s="1">
        <v>30000</v>
      </c>
      <c r="D25" s="1">
        <f t="shared" si="3"/>
        <v>18</v>
      </c>
      <c r="E25" s="1">
        <v>30001</v>
      </c>
      <c r="F25" s="1">
        <f t="shared" si="1"/>
        <v>5</v>
      </c>
      <c r="G25" s="1">
        <v>30002</v>
      </c>
      <c r="H25" s="1">
        <f t="shared" si="2"/>
        <v>3</v>
      </c>
    </row>
    <row r="26" spans="1:8" x14ac:dyDescent="0.3">
      <c r="A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Character_Stat_Table</vt:lpstr>
      <vt:lpstr>Common_Level_Exp_Table</vt:lpstr>
      <vt:lpstr>Weapon_Stat_Table</vt:lpstr>
      <vt:lpstr>Weapon_Growth_Table</vt:lpstr>
      <vt:lpstr>Weapon_Enhance_Cost_Table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이형규</cp:lastModifiedBy>
  <dcterms:created xsi:type="dcterms:W3CDTF">2015-06-05T18:19:34Z</dcterms:created>
  <dcterms:modified xsi:type="dcterms:W3CDTF">2026-03-09T20:02:34Z</dcterms:modified>
</cp:coreProperties>
</file>